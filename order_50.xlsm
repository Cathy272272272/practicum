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thyxu/Documents/practicum_cp/last_update/data_collection/collected/"/>
    </mc:Choice>
  </mc:AlternateContent>
  <xr:revisionPtr revIDLastSave="0" documentId="13_ncr:1_{A99FE471-735C-9E4E-A137-D0E6739EC8C0}" xr6:coauthVersionLast="43" xr6:coauthVersionMax="43" xr10:uidLastSave="{00000000-0000-0000-0000-000000000000}"/>
  <bookViews>
    <workbookView xWindow="0" yWindow="0" windowWidth="28800" windowHeight="18000" xr2:uid="{B05F4C23-9A73-D148-9D7C-526CB3323106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40" i="1" l="1"/>
  <c r="X40" i="1"/>
  <c r="W40" i="1"/>
  <c r="V40" i="1"/>
  <c r="T40" i="1"/>
  <c r="S40" i="1"/>
  <c r="R40" i="1"/>
  <c r="Q40" i="1"/>
  <c r="Y39" i="1"/>
  <c r="X39" i="1"/>
  <c r="W39" i="1"/>
  <c r="V39" i="1"/>
  <c r="T39" i="1"/>
  <c r="S39" i="1"/>
  <c r="R39" i="1"/>
  <c r="Q39" i="1"/>
  <c r="Y38" i="1"/>
  <c r="X38" i="1"/>
  <c r="W38" i="1"/>
  <c r="V38" i="1"/>
  <c r="T38" i="1"/>
  <c r="S38" i="1"/>
  <c r="R38" i="1"/>
  <c r="Q38" i="1"/>
  <c r="Y37" i="1"/>
  <c r="X37" i="1"/>
  <c r="W37" i="1"/>
  <c r="V37" i="1"/>
  <c r="T37" i="1"/>
  <c r="S37" i="1"/>
  <c r="R37" i="1"/>
  <c r="Q37" i="1"/>
  <c r="Y36" i="1"/>
  <c r="X36" i="1"/>
  <c r="W36" i="1"/>
  <c r="V36" i="1"/>
  <c r="T36" i="1"/>
  <c r="S36" i="1"/>
  <c r="R36" i="1"/>
  <c r="Q36" i="1"/>
  <c r="Y35" i="1"/>
  <c r="X35" i="1"/>
  <c r="W35" i="1"/>
  <c r="V35" i="1"/>
  <c r="T35" i="1"/>
  <c r="S35" i="1"/>
  <c r="R35" i="1"/>
  <c r="Q35" i="1"/>
  <c r="Y34" i="1"/>
  <c r="X34" i="1"/>
  <c r="W34" i="1"/>
  <c r="V34" i="1"/>
  <c r="T34" i="1"/>
  <c r="S34" i="1"/>
  <c r="R34" i="1"/>
  <c r="Q34" i="1"/>
  <c r="Y33" i="1"/>
  <c r="X33" i="1"/>
  <c r="W33" i="1"/>
  <c r="V33" i="1"/>
  <c r="T33" i="1"/>
  <c r="S33" i="1"/>
  <c r="R33" i="1"/>
  <c r="Q33" i="1"/>
  <c r="Y32" i="1"/>
  <c r="X32" i="1"/>
  <c r="W32" i="1"/>
  <c r="V32" i="1"/>
  <c r="T32" i="1"/>
  <c r="S32" i="1"/>
  <c r="R32" i="1"/>
  <c r="Q32" i="1"/>
  <c r="Y31" i="1"/>
  <c r="X31" i="1"/>
  <c r="W31" i="1"/>
  <c r="V31" i="1"/>
  <c r="T31" i="1"/>
  <c r="S31" i="1"/>
  <c r="R31" i="1"/>
  <c r="Q31" i="1"/>
  <c r="Y30" i="1"/>
  <c r="X30" i="1"/>
  <c r="W30" i="1"/>
  <c r="V30" i="1"/>
  <c r="T30" i="1"/>
  <c r="S30" i="1"/>
  <c r="R30" i="1"/>
  <c r="Q30" i="1"/>
  <c r="Y29" i="1"/>
  <c r="X29" i="1"/>
  <c r="W29" i="1"/>
  <c r="V29" i="1"/>
  <c r="T29" i="1"/>
  <c r="S29" i="1"/>
  <c r="R29" i="1"/>
  <c r="Q29" i="1"/>
  <c r="Y28" i="1"/>
  <c r="X28" i="1"/>
  <c r="W28" i="1"/>
  <c r="V28" i="1"/>
  <c r="T28" i="1"/>
  <c r="S28" i="1"/>
  <c r="R28" i="1"/>
  <c r="Q28" i="1"/>
  <c r="Y27" i="1"/>
  <c r="X27" i="1"/>
  <c r="W27" i="1"/>
  <c r="V27" i="1"/>
  <c r="T27" i="1"/>
  <c r="S27" i="1"/>
  <c r="R27" i="1"/>
  <c r="Q27" i="1"/>
  <c r="Y26" i="1"/>
  <c r="X26" i="1"/>
  <c r="W26" i="1"/>
  <c r="V26" i="1"/>
  <c r="T26" i="1"/>
  <c r="S26" i="1"/>
  <c r="R26" i="1"/>
  <c r="Q26" i="1"/>
  <c r="Y25" i="1"/>
  <c r="X25" i="1"/>
  <c r="W25" i="1"/>
  <c r="V25" i="1"/>
  <c r="T25" i="1"/>
  <c r="S25" i="1"/>
  <c r="R25" i="1"/>
  <c r="Q25" i="1"/>
  <c r="Y24" i="1"/>
  <c r="X24" i="1"/>
  <c r="W24" i="1"/>
  <c r="V24" i="1"/>
  <c r="T24" i="1"/>
  <c r="S24" i="1"/>
  <c r="R24" i="1"/>
  <c r="Q24" i="1"/>
  <c r="Y23" i="1"/>
  <c r="X23" i="1"/>
  <c r="W23" i="1"/>
  <c r="V23" i="1"/>
  <c r="T23" i="1"/>
  <c r="S23" i="1"/>
  <c r="R23" i="1"/>
  <c r="Q23" i="1"/>
  <c r="Y22" i="1"/>
  <c r="X22" i="1"/>
  <c r="W22" i="1"/>
  <c r="V22" i="1"/>
  <c r="T22" i="1"/>
  <c r="S22" i="1"/>
  <c r="R22" i="1"/>
  <c r="Q22" i="1"/>
  <c r="Y21" i="1"/>
  <c r="X21" i="1"/>
  <c r="W21" i="1"/>
  <c r="V21" i="1"/>
  <c r="T21" i="1"/>
  <c r="S21" i="1"/>
  <c r="R21" i="1"/>
  <c r="Q21" i="1"/>
  <c r="Y20" i="1"/>
  <c r="X20" i="1"/>
  <c r="W20" i="1"/>
  <c r="V20" i="1"/>
  <c r="T20" i="1"/>
  <c r="S20" i="1"/>
  <c r="R20" i="1"/>
  <c r="Q20" i="1"/>
  <c r="Y19" i="1"/>
  <c r="X19" i="1"/>
  <c r="W19" i="1"/>
  <c r="V19" i="1"/>
  <c r="T19" i="1"/>
  <c r="S19" i="1"/>
  <c r="R19" i="1"/>
  <c r="Q19" i="1"/>
  <c r="Y18" i="1"/>
  <c r="X18" i="1"/>
  <c r="W18" i="1"/>
  <c r="V18" i="1"/>
  <c r="T18" i="1"/>
  <c r="S18" i="1"/>
  <c r="R18" i="1"/>
  <c r="Q18" i="1"/>
  <c r="Y17" i="1"/>
  <c r="X17" i="1"/>
  <c r="W17" i="1"/>
  <c r="V17" i="1"/>
  <c r="T17" i="1"/>
  <c r="S17" i="1"/>
  <c r="R17" i="1"/>
  <c r="Q17" i="1"/>
  <c r="Y16" i="1"/>
  <c r="X16" i="1"/>
  <c r="W16" i="1"/>
  <c r="V16" i="1"/>
  <c r="T16" i="1"/>
  <c r="S16" i="1"/>
  <c r="R16" i="1"/>
  <c r="Q16" i="1"/>
  <c r="Y15" i="1"/>
  <c r="X15" i="1"/>
  <c r="W15" i="1"/>
  <c r="V15" i="1"/>
  <c r="T15" i="1"/>
  <c r="S15" i="1"/>
  <c r="R15" i="1"/>
  <c r="Q15" i="1"/>
  <c r="Y14" i="1"/>
  <c r="X14" i="1"/>
  <c r="W14" i="1"/>
  <c r="V14" i="1"/>
  <c r="T14" i="1"/>
  <c r="S14" i="1"/>
  <c r="R14" i="1"/>
  <c r="Q14" i="1"/>
  <c r="Y13" i="1"/>
  <c r="X13" i="1"/>
  <c r="W13" i="1"/>
  <c r="V13" i="1"/>
  <c r="T13" i="1"/>
  <c r="S13" i="1"/>
  <c r="R13" i="1"/>
  <c r="Q13" i="1"/>
  <c r="Y12" i="1"/>
  <c r="X12" i="1"/>
  <c r="W12" i="1"/>
  <c r="V12" i="1"/>
  <c r="T12" i="1"/>
  <c r="S12" i="1"/>
  <c r="R12" i="1"/>
  <c r="Q12" i="1"/>
  <c r="Y11" i="1"/>
  <c r="X11" i="1"/>
  <c r="W11" i="1"/>
  <c r="V11" i="1"/>
  <c r="T11" i="1"/>
  <c r="S11" i="1"/>
  <c r="R11" i="1"/>
  <c r="Q11" i="1"/>
  <c r="Y10" i="1"/>
  <c r="X10" i="1"/>
  <c r="W10" i="1"/>
  <c r="V10" i="1"/>
  <c r="T10" i="1"/>
  <c r="S10" i="1"/>
  <c r="R10" i="1"/>
  <c r="Q10" i="1"/>
  <c r="Y9" i="1"/>
  <c r="X9" i="1"/>
  <c r="W9" i="1"/>
  <c r="V9" i="1"/>
  <c r="T9" i="1"/>
  <c r="S9" i="1"/>
  <c r="R9" i="1"/>
  <c r="Q9" i="1"/>
  <c r="Y8" i="1"/>
  <c r="X8" i="1"/>
  <c r="W8" i="1"/>
  <c r="V8" i="1"/>
  <c r="T8" i="1"/>
  <c r="S8" i="1"/>
  <c r="R8" i="1"/>
  <c r="Q8" i="1"/>
  <c r="Y7" i="1"/>
  <c r="X7" i="1"/>
  <c r="W7" i="1"/>
  <c r="V7" i="1"/>
  <c r="T7" i="1"/>
  <c r="S7" i="1"/>
  <c r="R7" i="1"/>
  <c r="Q7" i="1"/>
  <c r="Y6" i="1"/>
  <c r="X6" i="1"/>
  <c r="W6" i="1"/>
  <c r="V6" i="1"/>
  <c r="T6" i="1"/>
  <c r="S6" i="1"/>
  <c r="R6" i="1"/>
  <c r="Q6" i="1"/>
  <c r="Y5" i="1"/>
  <c r="X5" i="1"/>
  <c r="W5" i="1"/>
  <c r="V5" i="1"/>
  <c r="T5" i="1"/>
  <c r="S5" i="1"/>
  <c r="R5" i="1"/>
  <c r="Q5" i="1"/>
  <c r="Y4" i="1"/>
  <c r="X4" i="1"/>
  <c r="W4" i="1"/>
  <c r="V4" i="1"/>
  <c r="T4" i="1"/>
  <c r="S4" i="1"/>
  <c r="R4" i="1"/>
  <c r="Q4" i="1"/>
  <c r="Y3" i="1"/>
  <c r="X3" i="1"/>
  <c r="W3" i="1"/>
  <c r="V3" i="1"/>
  <c r="T3" i="1"/>
  <c r="S3" i="1"/>
  <c r="R3" i="1"/>
  <c r="Q3" i="1"/>
  <c r="Y2" i="1"/>
  <c r="X2" i="1"/>
  <c r="W2" i="1"/>
  <c r="V2" i="1"/>
  <c r="T2" i="1"/>
  <c r="S2" i="1"/>
  <c r="R2" i="1"/>
  <c r="Q2" i="1"/>
  <c r="Y89" i="1"/>
  <c r="X89" i="1"/>
  <c r="W89" i="1"/>
  <c r="V89" i="1"/>
  <c r="T89" i="1"/>
  <c r="S89" i="1"/>
  <c r="R89" i="1"/>
  <c r="Q89" i="1"/>
  <c r="Y88" i="1"/>
  <c r="X88" i="1"/>
  <c r="W88" i="1"/>
  <c r="V88" i="1"/>
  <c r="T88" i="1"/>
  <c r="S88" i="1"/>
  <c r="R88" i="1"/>
  <c r="Q88" i="1"/>
  <c r="Y87" i="1"/>
  <c r="X87" i="1"/>
  <c r="W87" i="1"/>
  <c r="V87" i="1"/>
  <c r="T87" i="1"/>
  <c r="S87" i="1"/>
  <c r="R87" i="1"/>
  <c r="Q87" i="1"/>
  <c r="Y86" i="1"/>
  <c r="X86" i="1"/>
  <c r="W86" i="1"/>
  <c r="V86" i="1"/>
  <c r="T86" i="1"/>
  <c r="S86" i="1"/>
  <c r="R86" i="1"/>
  <c r="Q86" i="1"/>
  <c r="Y85" i="1"/>
  <c r="X85" i="1"/>
  <c r="W85" i="1"/>
  <c r="V85" i="1"/>
  <c r="T85" i="1"/>
  <c r="S85" i="1"/>
  <c r="R85" i="1"/>
  <c r="Q85" i="1"/>
  <c r="Y84" i="1"/>
  <c r="X84" i="1"/>
  <c r="W84" i="1"/>
  <c r="V84" i="1"/>
  <c r="T84" i="1"/>
  <c r="S84" i="1"/>
  <c r="R84" i="1"/>
  <c r="Q84" i="1"/>
  <c r="Y83" i="1"/>
  <c r="X83" i="1"/>
  <c r="W83" i="1"/>
  <c r="V83" i="1"/>
  <c r="T83" i="1"/>
  <c r="S83" i="1"/>
  <c r="R83" i="1"/>
  <c r="Q83" i="1"/>
  <c r="Y82" i="1"/>
  <c r="X82" i="1"/>
  <c r="W82" i="1"/>
  <c r="V82" i="1"/>
  <c r="T82" i="1"/>
  <c r="S82" i="1"/>
  <c r="R82" i="1"/>
  <c r="Q82" i="1"/>
  <c r="Y81" i="1"/>
  <c r="X81" i="1"/>
  <c r="W81" i="1"/>
  <c r="V81" i="1"/>
  <c r="T81" i="1"/>
  <c r="S81" i="1"/>
  <c r="R81" i="1"/>
  <c r="Q81" i="1"/>
  <c r="Y80" i="1"/>
  <c r="X80" i="1"/>
  <c r="W80" i="1"/>
  <c r="V80" i="1"/>
  <c r="T80" i="1"/>
  <c r="S80" i="1"/>
  <c r="R80" i="1"/>
  <c r="Q80" i="1"/>
  <c r="Y79" i="1"/>
  <c r="X79" i="1"/>
  <c r="W79" i="1"/>
  <c r="V79" i="1"/>
  <c r="T79" i="1"/>
  <c r="S79" i="1"/>
  <c r="R79" i="1"/>
  <c r="Q79" i="1"/>
  <c r="Y78" i="1"/>
  <c r="X78" i="1"/>
  <c r="W78" i="1"/>
  <c r="V78" i="1"/>
  <c r="T78" i="1"/>
  <c r="S78" i="1"/>
  <c r="R78" i="1"/>
  <c r="Q78" i="1"/>
  <c r="Y77" i="1"/>
  <c r="X77" i="1"/>
  <c r="W77" i="1"/>
  <c r="V77" i="1"/>
  <c r="T77" i="1"/>
  <c r="S77" i="1"/>
  <c r="R77" i="1"/>
  <c r="Q77" i="1"/>
  <c r="Y76" i="1"/>
  <c r="X76" i="1"/>
  <c r="W76" i="1"/>
  <c r="V76" i="1"/>
  <c r="T76" i="1"/>
  <c r="S76" i="1"/>
  <c r="R76" i="1"/>
  <c r="Q76" i="1"/>
  <c r="Y75" i="1"/>
  <c r="X75" i="1"/>
  <c r="W75" i="1"/>
  <c r="V75" i="1"/>
  <c r="T75" i="1"/>
  <c r="S75" i="1"/>
  <c r="R75" i="1"/>
  <c r="Q75" i="1"/>
  <c r="Y74" i="1"/>
  <c r="X74" i="1"/>
  <c r="W74" i="1"/>
  <c r="V74" i="1"/>
  <c r="T74" i="1"/>
  <c r="S74" i="1"/>
  <c r="R74" i="1"/>
  <c r="Q74" i="1"/>
  <c r="Y73" i="1"/>
  <c r="X73" i="1"/>
  <c r="W73" i="1"/>
  <c r="V73" i="1"/>
  <c r="T73" i="1"/>
  <c r="S73" i="1"/>
  <c r="R73" i="1"/>
  <c r="Q73" i="1"/>
  <c r="Y72" i="1"/>
  <c r="X72" i="1"/>
  <c r="W72" i="1"/>
  <c r="V72" i="1"/>
  <c r="T72" i="1"/>
  <c r="S72" i="1"/>
  <c r="R72" i="1"/>
  <c r="Q72" i="1"/>
  <c r="Y71" i="1"/>
  <c r="X71" i="1"/>
  <c r="W71" i="1"/>
  <c r="V71" i="1"/>
  <c r="T71" i="1"/>
  <c r="S71" i="1"/>
  <c r="R71" i="1"/>
  <c r="Q71" i="1"/>
  <c r="Y70" i="1"/>
  <c r="X70" i="1"/>
  <c r="W70" i="1"/>
  <c r="V70" i="1"/>
  <c r="T70" i="1"/>
  <c r="S70" i="1"/>
  <c r="R70" i="1"/>
  <c r="Q70" i="1"/>
  <c r="Y69" i="1"/>
  <c r="X69" i="1"/>
  <c r="W69" i="1"/>
  <c r="V69" i="1"/>
  <c r="T69" i="1"/>
  <c r="S69" i="1"/>
  <c r="R69" i="1"/>
  <c r="Q69" i="1"/>
  <c r="Y68" i="1"/>
  <c r="X68" i="1"/>
  <c r="W68" i="1"/>
  <c r="V68" i="1"/>
  <c r="T68" i="1"/>
  <c r="S68" i="1"/>
  <c r="R68" i="1"/>
  <c r="Q68" i="1"/>
  <c r="Y67" i="1"/>
  <c r="X67" i="1"/>
  <c r="W67" i="1"/>
  <c r="V67" i="1"/>
  <c r="T67" i="1"/>
  <c r="S67" i="1"/>
  <c r="R67" i="1"/>
  <c r="Q67" i="1"/>
  <c r="Y66" i="1"/>
  <c r="X66" i="1"/>
  <c r="W66" i="1"/>
  <c r="V66" i="1"/>
  <c r="T66" i="1"/>
  <c r="S66" i="1"/>
  <c r="R66" i="1"/>
  <c r="Q66" i="1"/>
  <c r="Y65" i="1"/>
  <c r="X65" i="1"/>
  <c r="W65" i="1"/>
  <c r="V65" i="1"/>
  <c r="T65" i="1"/>
  <c r="S65" i="1"/>
  <c r="R65" i="1"/>
  <c r="Q65" i="1"/>
  <c r="Y64" i="1"/>
  <c r="X64" i="1"/>
  <c r="W64" i="1"/>
  <c r="V64" i="1"/>
  <c r="T64" i="1"/>
  <c r="S64" i="1"/>
  <c r="R64" i="1"/>
  <c r="Q64" i="1"/>
  <c r="Y63" i="1"/>
  <c r="X63" i="1"/>
  <c r="W63" i="1"/>
  <c r="V63" i="1"/>
  <c r="T63" i="1"/>
  <c r="S63" i="1"/>
  <c r="R63" i="1"/>
  <c r="Q63" i="1"/>
  <c r="Y62" i="1"/>
  <c r="X62" i="1"/>
  <c r="W62" i="1"/>
  <c r="V62" i="1"/>
  <c r="T62" i="1"/>
  <c r="S62" i="1"/>
  <c r="R62" i="1"/>
  <c r="Q62" i="1"/>
  <c r="Y61" i="1"/>
  <c r="X61" i="1"/>
  <c r="W61" i="1"/>
  <c r="V61" i="1"/>
  <c r="T61" i="1"/>
  <c r="S61" i="1"/>
  <c r="R61" i="1"/>
  <c r="Q61" i="1"/>
  <c r="Y60" i="1"/>
  <c r="X60" i="1"/>
  <c r="W60" i="1"/>
  <c r="V60" i="1"/>
  <c r="T60" i="1"/>
  <c r="S60" i="1"/>
  <c r="R60" i="1"/>
  <c r="Q60" i="1"/>
  <c r="Y59" i="1"/>
  <c r="X59" i="1"/>
  <c r="W59" i="1"/>
  <c r="V59" i="1"/>
  <c r="T59" i="1"/>
  <c r="S59" i="1"/>
  <c r="R59" i="1"/>
  <c r="Q59" i="1"/>
  <c r="Y58" i="1"/>
  <c r="X58" i="1"/>
  <c r="W58" i="1"/>
  <c r="V58" i="1"/>
  <c r="T58" i="1"/>
  <c r="S58" i="1"/>
  <c r="R58" i="1"/>
  <c r="Q58" i="1"/>
  <c r="Y57" i="1"/>
  <c r="X57" i="1"/>
  <c r="W57" i="1"/>
  <c r="V57" i="1"/>
  <c r="T57" i="1"/>
  <c r="S57" i="1"/>
  <c r="R57" i="1"/>
  <c r="Q57" i="1"/>
  <c r="Y56" i="1"/>
  <c r="X56" i="1"/>
  <c r="W56" i="1"/>
  <c r="V56" i="1"/>
  <c r="T56" i="1"/>
  <c r="S56" i="1"/>
  <c r="R56" i="1"/>
  <c r="Q56" i="1"/>
  <c r="Y55" i="1"/>
  <c r="X55" i="1"/>
  <c r="W55" i="1"/>
  <c r="V55" i="1"/>
  <c r="T55" i="1"/>
  <c r="S55" i="1"/>
  <c r="R55" i="1"/>
  <c r="Q55" i="1"/>
  <c r="Y54" i="1"/>
  <c r="X54" i="1"/>
  <c r="W54" i="1"/>
  <c r="V54" i="1"/>
  <c r="T54" i="1"/>
  <c r="S54" i="1"/>
  <c r="R54" i="1"/>
  <c r="Q54" i="1"/>
  <c r="Y53" i="1"/>
  <c r="X53" i="1"/>
  <c r="W53" i="1"/>
  <c r="V53" i="1"/>
  <c r="T53" i="1"/>
  <c r="S53" i="1"/>
  <c r="R53" i="1"/>
  <c r="Q53" i="1"/>
  <c r="Y52" i="1"/>
  <c r="X52" i="1"/>
  <c r="W52" i="1"/>
  <c r="V52" i="1"/>
  <c r="T52" i="1"/>
  <c r="S52" i="1"/>
  <c r="R52" i="1"/>
  <c r="Q52" i="1"/>
  <c r="Y51" i="1"/>
  <c r="X51" i="1"/>
  <c r="W51" i="1"/>
  <c r="V51" i="1"/>
  <c r="T51" i="1"/>
  <c r="S51" i="1"/>
  <c r="R51" i="1"/>
  <c r="Q51" i="1"/>
  <c r="Y50" i="1"/>
  <c r="X50" i="1"/>
  <c r="W50" i="1"/>
  <c r="V50" i="1"/>
  <c r="T50" i="1"/>
  <c r="S50" i="1"/>
  <c r="R50" i="1"/>
  <c r="Q50" i="1"/>
  <c r="Y49" i="1"/>
  <c r="X49" i="1"/>
  <c r="W49" i="1"/>
  <c r="V49" i="1"/>
  <c r="T49" i="1"/>
  <c r="S49" i="1"/>
  <c r="R49" i="1"/>
  <c r="Q49" i="1"/>
  <c r="Y48" i="1"/>
  <c r="X48" i="1"/>
  <c r="W48" i="1"/>
  <c r="V48" i="1"/>
  <c r="T48" i="1"/>
  <c r="S48" i="1"/>
  <c r="R48" i="1"/>
  <c r="Q48" i="1"/>
  <c r="Y47" i="1"/>
  <c r="X47" i="1"/>
  <c r="W47" i="1"/>
  <c r="V47" i="1"/>
  <c r="T47" i="1"/>
  <c r="S47" i="1"/>
  <c r="R47" i="1"/>
  <c r="Q47" i="1"/>
  <c r="Y46" i="1"/>
  <c r="X46" i="1"/>
  <c r="W46" i="1"/>
  <c r="V46" i="1"/>
  <c r="T46" i="1"/>
  <c r="S46" i="1"/>
  <c r="R46" i="1"/>
  <c r="Q46" i="1"/>
  <c r="Y45" i="1"/>
  <c r="X45" i="1"/>
  <c r="W45" i="1"/>
  <c r="V45" i="1"/>
  <c r="T45" i="1"/>
  <c r="S45" i="1"/>
  <c r="R45" i="1"/>
  <c r="Q45" i="1"/>
  <c r="Y44" i="1"/>
  <c r="X44" i="1"/>
  <c r="W44" i="1"/>
  <c r="V44" i="1"/>
  <c r="T44" i="1"/>
  <c r="S44" i="1"/>
  <c r="R44" i="1"/>
  <c r="Q44" i="1"/>
  <c r="Y43" i="1"/>
  <c r="X43" i="1"/>
  <c r="W43" i="1"/>
  <c r="V43" i="1"/>
  <c r="T43" i="1"/>
  <c r="S43" i="1"/>
  <c r="R43" i="1"/>
  <c r="Q43" i="1"/>
  <c r="Y42" i="1"/>
  <c r="X42" i="1"/>
  <c r="W42" i="1"/>
  <c r="V42" i="1"/>
  <c r="T42" i="1"/>
  <c r="S42" i="1"/>
  <c r="R42" i="1"/>
  <c r="Q42" i="1"/>
  <c r="Y1" i="1"/>
  <c r="X1" i="1"/>
  <c r="W1" i="1"/>
  <c r="V1" i="1"/>
  <c r="T1" i="1"/>
  <c r="S1" i="1"/>
  <c r="R1" i="1"/>
  <c r="Q1" i="1"/>
  <c r="Q91" i="1"/>
  <c r="R91" i="1"/>
  <c r="S91" i="1"/>
  <c r="T91" i="1"/>
  <c r="T132" i="1" s="1"/>
  <c r="V91" i="1"/>
  <c r="W91" i="1"/>
  <c r="X91" i="1"/>
  <c r="X132" i="1" s="1"/>
  <c r="Y91" i="1"/>
  <c r="Y132" i="1" s="1"/>
  <c r="Q92" i="1"/>
  <c r="R92" i="1"/>
  <c r="S92" i="1"/>
  <c r="T92" i="1"/>
  <c r="V92" i="1"/>
  <c r="W92" i="1"/>
  <c r="X92" i="1"/>
  <c r="Y92" i="1"/>
  <c r="Q93" i="1"/>
  <c r="R93" i="1"/>
  <c r="S93" i="1"/>
  <c r="T93" i="1"/>
  <c r="V93" i="1"/>
  <c r="W93" i="1"/>
  <c r="X93" i="1"/>
  <c r="Y93" i="1"/>
  <c r="Q94" i="1"/>
  <c r="R94" i="1"/>
  <c r="S94" i="1"/>
  <c r="T94" i="1"/>
  <c r="V94" i="1"/>
  <c r="W94" i="1"/>
  <c r="X94" i="1"/>
  <c r="Y94" i="1"/>
  <c r="Q95" i="1"/>
  <c r="R95" i="1"/>
  <c r="S95" i="1"/>
  <c r="T95" i="1"/>
  <c r="V95" i="1"/>
  <c r="W95" i="1"/>
  <c r="X95" i="1"/>
  <c r="Y95" i="1"/>
  <c r="Q96" i="1"/>
  <c r="R96" i="1"/>
  <c r="S96" i="1"/>
  <c r="T96" i="1"/>
  <c r="V96" i="1"/>
  <c r="W96" i="1"/>
  <c r="X96" i="1"/>
  <c r="Y96" i="1"/>
  <c r="Q97" i="1"/>
  <c r="R97" i="1"/>
  <c r="S97" i="1"/>
  <c r="T97" i="1"/>
  <c r="V97" i="1"/>
  <c r="W97" i="1"/>
  <c r="X97" i="1"/>
  <c r="Y97" i="1"/>
  <c r="Q98" i="1"/>
  <c r="R98" i="1"/>
  <c r="S98" i="1"/>
  <c r="T98" i="1"/>
  <c r="V98" i="1"/>
  <c r="W98" i="1"/>
  <c r="X98" i="1"/>
  <c r="Y98" i="1"/>
  <c r="Q99" i="1"/>
  <c r="R99" i="1"/>
  <c r="S99" i="1"/>
  <c r="T99" i="1"/>
  <c r="V99" i="1"/>
  <c r="W99" i="1"/>
  <c r="X99" i="1"/>
  <c r="Y99" i="1"/>
  <c r="Q100" i="1"/>
  <c r="R100" i="1"/>
  <c r="S100" i="1"/>
  <c r="T100" i="1"/>
  <c r="V100" i="1"/>
  <c r="W100" i="1"/>
  <c r="X100" i="1"/>
  <c r="Y100" i="1"/>
  <c r="Q101" i="1"/>
  <c r="R101" i="1"/>
  <c r="S101" i="1"/>
  <c r="T101" i="1"/>
  <c r="V101" i="1"/>
  <c r="W101" i="1"/>
  <c r="X101" i="1"/>
  <c r="Y101" i="1"/>
  <c r="Q102" i="1"/>
  <c r="R102" i="1"/>
  <c r="S102" i="1"/>
  <c r="T102" i="1"/>
  <c r="V102" i="1"/>
  <c r="W102" i="1"/>
  <c r="X102" i="1"/>
  <c r="Y102" i="1"/>
  <c r="Q103" i="1"/>
  <c r="R103" i="1"/>
  <c r="S103" i="1"/>
  <c r="T103" i="1"/>
  <c r="V103" i="1"/>
  <c r="W103" i="1"/>
  <c r="X103" i="1"/>
  <c r="Y103" i="1"/>
  <c r="Q104" i="1"/>
  <c r="R104" i="1"/>
  <c r="S104" i="1"/>
  <c r="T104" i="1"/>
  <c r="V104" i="1"/>
  <c r="W104" i="1"/>
  <c r="X104" i="1"/>
  <c r="Y104" i="1"/>
  <c r="Q105" i="1"/>
  <c r="R105" i="1"/>
  <c r="S105" i="1"/>
  <c r="T105" i="1"/>
  <c r="V105" i="1"/>
  <c r="W105" i="1"/>
  <c r="X105" i="1"/>
  <c r="Y105" i="1"/>
  <c r="Q106" i="1"/>
  <c r="R106" i="1"/>
  <c r="S106" i="1"/>
  <c r="T106" i="1"/>
  <c r="V106" i="1"/>
  <c r="W106" i="1"/>
  <c r="X106" i="1"/>
  <c r="Y106" i="1"/>
  <c r="Q107" i="1"/>
  <c r="R107" i="1"/>
  <c r="S107" i="1"/>
  <c r="T107" i="1"/>
  <c r="V107" i="1"/>
  <c r="W107" i="1"/>
  <c r="X107" i="1"/>
  <c r="Y107" i="1"/>
  <c r="Q108" i="1"/>
  <c r="R108" i="1"/>
  <c r="S108" i="1"/>
  <c r="T108" i="1"/>
  <c r="V108" i="1"/>
  <c r="W108" i="1"/>
  <c r="X108" i="1"/>
  <c r="Y108" i="1"/>
  <c r="Q109" i="1"/>
  <c r="R109" i="1"/>
  <c r="S109" i="1"/>
  <c r="T109" i="1"/>
  <c r="V109" i="1"/>
  <c r="W109" i="1"/>
  <c r="X109" i="1"/>
  <c r="Y109" i="1"/>
  <c r="Q110" i="1"/>
  <c r="R110" i="1"/>
  <c r="S110" i="1"/>
  <c r="T110" i="1"/>
  <c r="V110" i="1"/>
  <c r="W110" i="1"/>
  <c r="X110" i="1"/>
  <c r="Y110" i="1"/>
  <c r="Q111" i="1"/>
  <c r="R111" i="1"/>
  <c r="S111" i="1"/>
  <c r="T111" i="1"/>
  <c r="V111" i="1"/>
  <c r="W111" i="1"/>
  <c r="X111" i="1"/>
  <c r="Y111" i="1"/>
  <c r="Q112" i="1"/>
  <c r="R112" i="1"/>
  <c r="S112" i="1"/>
  <c r="T112" i="1"/>
  <c r="V112" i="1"/>
  <c r="W112" i="1"/>
  <c r="X112" i="1"/>
  <c r="Y112" i="1"/>
  <c r="Q113" i="1"/>
  <c r="R113" i="1"/>
  <c r="S113" i="1"/>
  <c r="T113" i="1"/>
  <c r="V113" i="1"/>
  <c r="W113" i="1"/>
  <c r="X113" i="1"/>
  <c r="Y113" i="1"/>
  <c r="Q114" i="1"/>
  <c r="R114" i="1"/>
  <c r="S114" i="1"/>
  <c r="T114" i="1"/>
  <c r="V114" i="1"/>
  <c r="W114" i="1"/>
  <c r="X114" i="1"/>
  <c r="Y114" i="1"/>
  <c r="Q115" i="1"/>
  <c r="R115" i="1"/>
  <c r="S115" i="1"/>
  <c r="T115" i="1"/>
  <c r="V115" i="1"/>
  <c r="W115" i="1"/>
  <c r="X115" i="1"/>
  <c r="Y115" i="1"/>
  <c r="Q116" i="1"/>
  <c r="R116" i="1"/>
  <c r="S116" i="1"/>
  <c r="T116" i="1"/>
  <c r="V116" i="1"/>
  <c r="W116" i="1"/>
  <c r="X116" i="1"/>
  <c r="Y116" i="1"/>
  <c r="Q117" i="1"/>
  <c r="R117" i="1"/>
  <c r="S117" i="1"/>
  <c r="T117" i="1"/>
  <c r="V117" i="1"/>
  <c r="W117" i="1"/>
  <c r="X117" i="1"/>
  <c r="Y117" i="1"/>
  <c r="Q118" i="1"/>
  <c r="R118" i="1"/>
  <c r="S118" i="1"/>
  <c r="T118" i="1"/>
  <c r="V118" i="1"/>
  <c r="W118" i="1"/>
  <c r="X118" i="1"/>
  <c r="Y118" i="1"/>
  <c r="Q119" i="1"/>
  <c r="R119" i="1"/>
  <c r="S119" i="1"/>
  <c r="T119" i="1"/>
  <c r="V119" i="1"/>
  <c r="W119" i="1"/>
  <c r="X119" i="1"/>
  <c r="Y119" i="1"/>
  <c r="Q120" i="1"/>
  <c r="R120" i="1"/>
  <c r="S120" i="1"/>
  <c r="T120" i="1"/>
  <c r="V120" i="1"/>
  <c r="W120" i="1"/>
  <c r="X120" i="1"/>
  <c r="Y120" i="1"/>
  <c r="Q121" i="1"/>
  <c r="R121" i="1"/>
  <c r="S121" i="1"/>
  <c r="T121" i="1"/>
  <c r="V121" i="1"/>
  <c r="W121" i="1"/>
  <c r="X121" i="1"/>
  <c r="Y121" i="1"/>
  <c r="Q122" i="1"/>
  <c r="R122" i="1"/>
  <c r="S122" i="1"/>
  <c r="T122" i="1"/>
  <c r="V122" i="1"/>
  <c r="W122" i="1"/>
  <c r="X122" i="1"/>
  <c r="Y122" i="1"/>
  <c r="Q123" i="1"/>
  <c r="R123" i="1"/>
  <c r="S123" i="1"/>
  <c r="T123" i="1"/>
  <c r="V123" i="1"/>
  <c r="W123" i="1"/>
  <c r="X123" i="1"/>
  <c r="Y123" i="1"/>
  <c r="Q124" i="1"/>
  <c r="R124" i="1"/>
  <c r="S124" i="1"/>
  <c r="T124" i="1"/>
  <c r="V124" i="1"/>
  <c r="W124" i="1"/>
  <c r="X124" i="1"/>
  <c r="Y124" i="1"/>
  <c r="Q125" i="1"/>
  <c r="R125" i="1"/>
  <c r="S125" i="1"/>
  <c r="T125" i="1"/>
  <c r="V125" i="1"/>
  <c r="W125" i="1"/>
  <c r="X125" i="1"/>
  <c r="Y125" i="1"/>
  <c r="Q126" i="1"/>
  <c r="R126" i="1"/>
  <c r="S126" i="1"/>
  <c r="T126" i="1"/>
  <c r="V126" i="1"/>
  <c r="W126" i="1"/>
  <c r="X126" i="1"/>
  <c r="Y126" i="1"/>
  <c r="Q127" i="1"/>
  <c r="R127" i="1"/>
  <c r="S127" i="1"/>
  <c r="T127" i="1"/>
  <c r="V127" i="1"/>
  <c r="W127" i="1"/>
  <c r="X127" i="1"/>
  <c r="Y127" i="1"/>
  <c r="B129" i="1"/>
  <c r="C129" i="1"/>
  <c r="D129" i="1"/>
  <c r="E129" i="1"/>
  <c r="G129" i="1"/>
  <c r="H129" i="1"/>
  <c r="I129" i="1"/>
  <c r="J129" i="1"/>
  <c r="L129" i="1"/>
  <c r="M129" i="1"/>
  <c r="N129" i="1"/>
  <c r="O129" i="1"/>
  <c r="Q129" i="1"/>
  <c r="R129" i="1"/>
  <c r="V129" i="1"/>
  <c r="W129" i="1"/>
  <c r="B130" i="1"/>
  <c r="C130" i="1"/>
  <c r="D130" i="1"/>
  <c r="E130" i="1"/>
  <c r="G130" i="1"/>
  <c r="H130" i="1"/>
  <c r="I130" i="1"/>
  <c r="J130" i="1"/>
  <c r="L130" i="1"/>
  <c r="M130" i="1"/>
  <c r="N130" i="1"/>
  <c r="O130" i="1"/>
  <c r="Q130" i="1"/>
  <c r="R130" i="1"/>
  <c r="V130" i="1"/>
  <c r="W130" i="1"/>
  <c r="B131" i="1"/>
  <c r="B133" i="1" s="1"/>
  <c r="C131" i="1"/>
  <c r="C133" i="1" s="1"/>
  <c r="D131" i="1"/>
  <c r="E131" i="1"/>
  <c r="G131" i="1"/>
  <c r="H131" i="1"/>
  <c r="I131" i="1"/>
  <c r="J131" i="1"/>
  <c r="L131" i="1"/>
  <c r="M131" i="1"/>
  <c r="N131" i="1"/>
  <c r="O131" i="1"/>
  <c r="Q131" i="1"/>
  <c r="R131" i="1"/>
  <c r="V131" i="1"/>
  <c r="W131" i="1"/>
  <c r="B132" i="1"/>
  <c r="C132" i="1"/>
  <c r="D132" i="1"/>
  <c r="D133" i="1" s="1"/>
  <c r="E132" i="1"/>
  <c r="G132" i="1"/>
  <c r="H132" i="1"/>
  <c r="I132" i="1"/>
  <c r="I133" i="1" s="1"/>
  <c r="J132" i="1"/>
  <c r="L132" i="1"/>
  <c r="M132" i="1"/>
  <c r="N132" i="1"/>
  <c r="N133" i="1" s="1"/>
  <c r="O132" i="1"/>
  <c r="Q132" i="1"/>
  <c r="R132" i="1"/>
  <c r="V132" i="1"/>
  <c r="V133" i="1" s="1"/>
  <c r="W132" i="1"/>
  <c r="E133" i="1"/>
  <c r="G133" i="1"/>
  <c r="T131" i="1" l="1"/>
  <c r="X130" i="1"/>
  <c r="M133" i="1"/>
  <c r="Y131" i="1"/>
  <c r="X131" i="1"/>
  <c r="X133" i="1" s="1"/>
  <c r="Q133" i="1"/>
  <c r="L133" i="1"/>
  <c r="Y133" i="1"/>
  <c r="W133" i="1"/>
  <c r="Y130" i="1"/>
  <c r="T130" i="1"/>
  <c r="X129" i="1"/>
  <c r="T133" i="1"/>
  <c r="R133" i="1"/>
  <c r="H133" i="1"/>
  <c r="Y129" i="1"/>
  <c r="T129" i="1"/>
  <c r="S129" i="1"/>
  <c r="O133" i="1"/>
  <c r="J133" i="1"/>
  <c r="S130" i="1"/>
  <c r="S132" i="1"/>
  <c r="S131" i="1"/>
  <c r="S133" i="1" l="1"/>
</calcChain>
</file>

<file path=xl/sharedStrings.xml><?xml version="1.0" encoding="utf-8"?>
<sst xmlns="http://schemas.openxmlformats.org/spreadsheetml/2006/main" count="141" uniqueCount="133">
  <si>
    <t>Average Error</t>
  </si>
  <si>
    <t>Error LB</t>
  </si>
  <si>
    <t>Error UB</t>
  </si>
  <si>
    <t>Abs. Worst</t>
  </si>
  <si>
    <t>0 legendre_formula_-1.000000_1.000000</t>
  </si>
  <si>
    <t>13 legendre_formula_-1.000000_1.000000</t>
  </si>
  <si>
    <t>14 legendre_formula_-1.000000_1.000000</t>
  </si>
  <si>
    <t>15 legendre_formula_-1.000000_1.000000</t>
  </si>
  <si>
    <t>1 legendre_formula_-1.000000_1.000000</t>
  </si>
  <si>
    <t>18 legendre_formula_-1.000000_1.000000</t>
  </si>
  <si>
    <t>19 legendre_formula_-1.000000_1.000000</t>
  </si>
  <si>
    <t>20 legendre_formula_-1.000000_1.000000</t>
  </si>
  <si>
    <t>21 legendre_formula_-1.000000_1.000000</t>
  </si>
  <si>
    <t>23 legendre_formula_-1.000000_1.000000</t>
  </si>
  <si>
    <t>26 legendre_formula_-1.000000_1.000000</t>
  </si>
  <si>
    <t>2 legendre_formula_-1.000000_1.000000</t>
  </si>
  <si>
    <t>28 legendre_formula_-1.000000_1.000000</t>
  </si>
  <si>
    <t>31 legendre_formula_-1.000000_1.000000</t>
  </si>
  <si>
    <t>32 legendre_formula_-1.000000_1.000000</t>
  </si>
  <si>
    <t>33 legendre_formula_-1.000000_1.000000</t>
  </si>
  <si>
    <t>34 legendre_formula_-1.000000_1.000000</t>
  </si>
  <si>
    <t>35 legendre_formula_-1.000000_1.000000</t>
  </si>
  <si>
    <t>36 legendre_formula_-1.000000_1.000000</t>
  </si>
  <si>
    <t>3 legendre_formula_-1.000000_1.000000</t>
  </si>
  <si>
    <t>37 legendre_formula_-1.000000_1.000000</t>
  </si>
  <si>
    <t>38 legendre_formula_-1.000000_1.000000</t>
  </si>
  <si>
    <t>39 legendre_formula_-1.000000_1.000000</t>
  </si>
  <si>
    <t>40 legendre_formula_-1.000000_1.000000</t>
  </si>
  <si>
    <t>41 legendre_formula_-1.000000_1.000000</t>
  </si>
  <si>
    <t>42 legendre_formula_-1.000000_1.000000</t>
  </si>
  <si>
    <t>43 legendre_formula_-1.000000_1.000000</t>
  </si>
  <si>
    <t>44 legendre_formula_-1.000000_1.000000</t>
  </si>
  <si>
    <t>45 legendre_formula_-1.000000_1.000000</t>
  </si>
  <si>
    <t>4 legendre_formula_-1.000000_1.000000</t>
  </si>
  <si>
    <t>46 legendre_formula_-1.000000_1.000000</t>
  </si>
  <si>
    <t>47 legendre_formula_-1.000000_1.000000</t>
  </si>
  <si>
    <t>48 legendre_formula_-1.000000_1.000000</t>
  </si>
  <si>
    <t>49 legendre_formula_-1.000000_1.000000</t>
  </si>
  <si>
    <t>7 legendre_formula_-1.000000_1.000000</t>
  </si>
  <si>
    <t>8 legendre_formula_-1.000000_1.000000</t>
  </si>
  <si>
    <t>9 legendre_formula_-1.000000_1.000000</t>
  </si>
  <si>
    <t>sum</t>
  </si>
  <si>
    <t>avg</t>
  </si>
  <si>
    <t>max</t>
  </si>
  <si>
    <t>min</t>
  </si>
  <si>
    <t>absmax</t>
  </si>
  <si>
    <t>0 laguerre_formula_-1.000000_1.000000</t>
  </si>
  <si>
    <t>10 laguerre_formula_-1.000000_1.000000</t>
  </si>
  <si>
    <t>11 laguerre_formula_-1.000000_1.000000</t>
  </si>
  <si>
    <t>13 laguerre_formula_-1.000000_1.000000</t>
  </si>
  <si>
    <t>14 laguerre_formula_-1.000000_1.000000</t>
  </si>
  <si>
    <t>15 laguerre_formula_-1.000000_1.000000</t>
  </si>
  <si>
    <t>16 laguerre_formula_-1.000000_1.000000</t>
  </si>
  <si>
    <t>17 laguerre_formula_-1.000000_1.000000</t>
  </si>
  <si>
    <t>1 laguerre_formula_-1.000000_1.000000</t>
  </si>
  <si>
    <t>18 laguerre_formula_-1.000000_1.000000</t>
  </si>
  <si>
    <t>19 laguerre_formula_-1.000000_1.000000</t>
  </si>
  <si>
    <t>20 laguerre_formula_-1.000000_1.000000</t>
  </si>
  <si>
    <t>21 laguerre_formula_-1.000000_1.000000</t>
  </si>
  <si>
    <t>22 laguerre_formula_-1.000000_1.000000</t>
  </si>
  <si>
    <t>23 laguerre_formula_-1.000000_1.000000</t>
  </si>
  <si>
    <t>24 laguerre_formula_-1.000000_1.000000</t>
  </si>
  <si>
    <t>25 laguerre_formula_-1.000000_1.000000</t>
  </si>
  <si>
    <t>26 laguerre_formula_-1.000000_1.000000</t>
  </si>
  <si>
    <t>27 laguerre_formula_-1.000000_1.000000</t>
  </si>
  <si>
    <t>2 laguerre_formula_-1.000000_1.000000</t>
  </si>
  <si>
    <t>28 laguerre_formula_-1.000000_1.000000</t>
  </si>
  <si>
    <t>29 laguerre_formula_-1.000000_1.000000</t>
  </si>
  <si>
    <t>30 laguerre_formula_-1.000000_1.000000</t>
  </si>
  <si>
    <t>31 laguerre_formula_-1.000000_1.000000</t>
  </si>
  <si>
    <t>32 laguerre_formula_-1.000000_1.000000</t>
  </si>
  <si>
    <t>33 laguerre_formula_-1.000000_1.000000</t>
  </si>
  <si>
    <t>34 laguerre_formula_-1.000000_1.000000</t>
  </si>
  <si>
    <t>35 laguerre_formula_-1.000000_1.000000</t>
  </si>
  <si>
    <t>36 laguerre_formula_-1.000000_1.000000</t>
  </si>
  <si>
    <t>3 laguerre_formula_-1.000000_1.000000</t>
  </si>
  <si>
    <t>37 laguerre_formula_-1.000000_1.000000</t>
  </si>
  <si>
    <t>38 laguerre_formula_-1.000000_1.000000</t>
  </si>
  <si>
    <t>39 laguerre_formula_-1.000000_1.000000</t>
  </si>
  <si>
    <t>40 laguerre_formula_-1.000000_1.000000</t>
  </si>
  <si>
    <t>41 laguerre_formula_-1.000000_1.000000</t>
  </si>
  <si>
    <t>42 laguerre_formula_-1.000000_1.000000</t>
  </si>
  <si>
    <t>43 laguerre_formula_-1.000000_1.000000</t>
  </si>
  <si>
    <t>44 laguerre_formula_-1.000000_1.000000</t>
  </si>
  <si>
    <t>45 laguerre_formula_-1.000000_1.000000</t>
  </si>
  <si>
    <t>4 laguerre_formula_-1.000000_1.000000</t>
  </si>
  <si>
    <t>46 laguerre_formula_-1.000000_1.000000</t>
  </si>
  <si>
    <t>47 laguerre_formula_-1.000000_1.000000</t>
  </si>
  <si>
    <t>48 laguerre_formula_-1.000000_1.000000</t>
  </si>
  <si>
    <t>49 laguerre_formula_-1.000000_1.000000</t>
  </si>
  <si>
    <t>6 laguerre_formula_-1.000000_1.000000</t>
  </si>
  <si>
    <t>7 laguerre_formula_-1.000000_1.000000</t>
  </si>
  <si>
    <t>8 laguerre_formula_-1.000000_1.000000</t>
  </si>
  <si>
    <t>9 laguerre_formula_-1.000000_1.000000</t>
  </si>
  <si>
    <t>0 hermite_formula_-1.000000_1.000000</t>
  </si>
  <si>
    <t>10 hermite_formula_-1.000000_1.000000</t>
  </si>
  <si>
    <t>11 hermite_formula_-1.000000_1.000000</t>
  </si>
  <si>
    <t>12 hermite_formula_-1.000000_1.000000</t>
  </si>
  <si>
    <t>13 hermite_formula_-1.000000_1.000000</t>
  </si>
  <si>
    <t>15 hermite_formula_-1.000000_1.000000</t>
  </si>
  <si>
    <t>16 hermite_formula_-1.000000_1.000000</t>
  </si>
  <si>
    <t>1 hermite_formula_-1.000000_1.000000</t>
  </si>
  <si>
    <t>18 hermite_formula_-1.000000_1.000000</t>
  </si>
  <si>
    <t>19 hermite_formula_-1.000000_1.000000</t>
  </si>
  <si>
    <t>20 hermite_formula_-1.000000_1.000000</t>
  </si>
  <si>
    <t>22 hermite_formula_-1.000000_1.000000</t>
  </si>
  <si>
    <t>24 hermite_formula_-1.000000_1.000000</t>
  </si>
  <si>
    <t>27 hermite_formula_-1.000000_1.000000</t>
  </si>
  <si>
    <t>2 hermite_formula_-1.000000_1.000000</t>
  </si>
  <si>
    <t>29 hermite_formula_-1.000000_1.000000</t>
  </si>
  <si>
    <t>31 hermite_formula_-1.000000_1.000000</t>
  </si>
  <si>
    <t>33 hermite_formula_-1.000000_1.000000</t>
  </si>
  <si>
    <t>35 hermite_formula_-1.000000_1.000000</t>
  </si>
  <si>
    <t>3 hermite_formula_-1.000000_1.000000</t>
  </si>
  <si>
    <t>37 hermite_formula_-1.000000_1.000000</t>
  </si>
  <si>
    <t>38 hermite_formula_-1.000000_1.000000</t>
  </si>
  <si>
    <t>39 hermite_formula_-1.000000_1.000000</t>
  </si>
  <si>
    <t>40 hermite_formula_-1.000000_1.000000</t>
  </si>
  <si>
    <t>41 hermite_formula_-1.000000_1.000000</t>
  </si>
  <si>
    <t>42 hermite_formula_-1.000000_1.000000</t>
  </si>
  <si>
    <t>43 hermite_formula_-1.000000_1.000000</t>
  </si>
  <si>
    <t>44 hermite_formula_-1.000000_1.000000</t>
  </si>
  <si>
    <t>45 hermite_formula_-1.000000_1.000000</t>
  </si>
  <si>
    <t>4 hermite_formula_-1.000000_1.000000</t>
  </si>
  <si>
    <t>46 hermite_formula_-1.000000_1.000000</t>
  </si>
  <si>
    <t>47 hermite_formula_-1.000000_1.000000</t>
  </si>
  <si>
    <t>48 hermite_formula_-1.000000_1.000000</t>
  </si>
  <si>
    <t>49 hermite_formula_-1.000000_1.000000</t>
  </si>
  <si>
    <t>5 hermite_formula_-1.000000_1.000000</t>
  </si>
  <si>
    <t>6 hermite_formula_-1.000000_1.000000</t>
  </si>
  <si>
    <t>7 hermite_formula_-1.000000_1.000000</t>
  </si>
  <si>
    <t>8 hermite_formula_-1.000000_1.000000</t>
  </si>
  <si>
    <t>9 hermite_formula_-1.000000_1.000000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</si>
</sst>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8DBED-F210-364A-BFB9-4E383BE06F42}">
  <dimension ref="A1:Y133"/>
  <sheetViews>
    <sheetView tabSelected="1" topLeftCell="A107" workbookViewId="0">
      <selection activeCell="A28" sqref="A28"/>
    </sheetView>
  </sheetViews>
  <sheetFormatPr baseColWidth="10" defaultRowHeight="16" x14ac:dyDescent="0.2"/>
  <cols>
    <col min="1" max="1" width="36.6640625" bestFit="1" customWidth="1"/>
  </cols>
  <sheetData>
    <row r="1" spans="1:25" x14ac:dyDescent="0.2">
      <c r="B1" t="s">
        <v>0</v>
      </c>
      <c r="C1" t="s">
        <v>1</v>
      </c>
      <c r="D1" t="s">
        <v>2</v>
      </c>
      <c r="E1" t="s">
        <v>3</v>
      </c>
      <c r="G1" t="s">
        <v>0</v>
      </c>
      <c r="H1" t="s">
        <v>1</v>
      </c>
      <c r="I1" t="s">
        <v>2</v>
      </c>
      <c r="J1" t="s">
        <v>3</v>
      </c>
      <c r="L1" t="s">
        <v>0</v>
      </c>
      <c r="M1" t="s">
        <v>1</v>
      </c>
      <c r="N1" t="s">
        <v>2</v>
      </c>
      <c r="O1" t="s">
        <v>3</v>
      </c>
      <c r="Q1" t="str">
        <f t="shared" ref="Q1:T127" si="0">IF(ISNUMBER(B1),B1-G1,"")</f>
        <v/>
      </c>
      <c r="R1" t="str">
        <f t="shared" si="0"/>
        <v/>
      </c>
      <c r="S1" t="str">
        <f t="shared" si="0"/>
        <v/>
      </c>
      <c r="T1" t="str">
        <f t="shared" si="0"/>
        <v/>
      </c>
      <c r="V1" t="str">
        <f t="shared" ref="V1:Y127" si="1">IF(ISNUMBER(B1),B1-L1,"")</f>
        <v/>
      </c>
      <c r="W1" t="str">
        <f t="shared" si="1"/>
        <v/>
      </c>
      <c r="X1" t="str">
        <f t="shared" si="1"/>
        <v/>
      </c>
      <c r="Y1" t="str">
        <f t="shared" si="1"/>
        <v/>
      </c>
    </row>
    <row r="2" spans="1:25" x14ac:dyDescent="0.2">
      <c r="A2" t="s">
        <v>94</v>
      </c>
      <c r="B2" s="1">
        <v>2.18E-8</v>
      </c>
      <c r="C2" s="1">
        <v>-5.1499999999999998E-8</v>
      </c>
      <c r="D2" s="1">
        <v>4.8400000000000003E-8</v>
      </c>
      <c r="E2" s="1">
        <v>5.1499999999999998E-8</v>
      </c>
      <c r="G2">
        <v>1.3799999999999999E-7</v>
      </c>
      <c r="H2" s="1">
        <v>-7.4499999999999996E-7</v>
      </c>
      <c r="I2" s="1">
        <v>1.1000000000000001E-6</v>
      </c>
      <c r="J2" s="1">
        <v>1.1000000000000001E-6</v>
      </c>
      <c r="L2" s="1">
        <v>2.18E-8</v>
      </c>
      <c r="M2" s="1">
        <v>-5.1499999999999998E-8</v>
      </c>
      <c r="N2" s="1">
        <v>4.8400000000000003E-8</v>
      </c>
      <c r="O2" s="1">
        <v>5.1499999999999998E-8</v>
      </c>
      <c r="Q2">
        <f t="shared" ref="Q2:T40" si="2">IF(ISNUMBER(B2),B2-G2,"")</f>
        <v>-1.1619999999999999E-7</v>
      </c>
      <c r="R2">
        <f t="shared" si="2"/>
        <v>6.9350000000000001E-7</v>
      </c>
      <c r="S2">
        <f t="shared" si="2"/>
        <v>-1.0516E-6</v>
      </c>
      <c r="T2">
        <f t="shared" si="2"/>
        <v>-1.0485E-6</v>
      </c>
      <c r="V2">
        <f t="shared" ref="V2:Y40" si="3">IF(ISNUMBER(B2),B2-L2,"")</f>
        <v>0</v>
      </c>
      <c r="W2">
        <f t="shared" si="3"/>
        <v>0</v>
      </c>
      <c r="X2">
        <f t="shared" si="3"/>
        <v>0</v>
      </c>
      <c r="Y2">
        <f t="shared" si="3"/>
        <v>0</v>
      </c>
    </row>
    <row r="3" spans="1:25" x14ac:dyDescent="0.2">
      <c r="A3" t="s">
        <v>95</v>
      </c>
      <c r="B3" s="1">
        <v>2.0800000000000001E-8</v>
      </c>
      <c r="C3" s="1">
        <v>-3.6300000000000001E-8</v>
      </c>
      <c r="D3" s="1">
        <v>5.2299999999999998E-8</v>
      </c>
      <c r="E3" s="1">
        <v>5.2299999999999998E-8</v>
      </c>
      <c r="G3" s="1">
        <v>5.0699999999999999E-5</v>
      </c>
      <c r="H3">
        <v>-1.77362E-4</v>
      </c>
      <c r="I3">
        <v>1.726308E-3</v>
      </c>
      <c r="J3">
        <v>1.726308E-3</v>
      </c>
      <c r="L3">
        <v>0</v>
      </c>
      <c r="M3">
        <v>0</v>
      </c>
      <c r="N3">
        <v>0</v>
      </c>
      <c r="O3">
        <v>0</v>
      </c>
      <c r="Q3">
        <f t="shared" si="2"/>
        <v>-5.0679200000000001E-5</v>
      </c>
      <c r="R3">
        <f t="shared" si="2"/>
        <v>1.7732570000000001E-4</v>
      </c>
      <c r="S3">
        <f t="shared" si="2"/>
        <v>-1.7262556999999999E-3</v>
      </c>
      <c r="T3">
        <f t="shared" si="2"/>
        <v>-1.7262556999999999E-3</v>
      </c>
      <c r="V3">
        <f t="shared" si="3"/>
        <v>2.0800000000000001E-8</v>
      </c>
      <c r="W3">
        <f t="shared" si="3"/>
        <v>-3.6300000000000001E-8</v>
      </c>
      <c r="X3">
        <f t="shared" si="3"/>
        <v>5.2299999999999998E-8</v>
      </c>
      <c r="Y3">
        <f t="shared" si="3"/>
        <v>5.2299999999999998E-8</v>
      </c>
    </row>
    <row r="4" spans="1:25" x14ac:dyDescent="0.2">
      <c r="A4" t="s">
        <v>96</v>
      </c>
      <c r="B4">
        <v>2.4E-8</v>
      </c>
      <c r="C4" s="1">
        <v>-5.17E-8</v>
      </c>
      <c r="D4" s="1">
        <v>5.8099999999999997E-8</v>
      </c>
      <c r="E4" s="1">
        <v>5.8099999999999997E-8</v>
      </c>
      <c r="G4" s="1">
        <v>5.3700000000000003E-6</v>
      </c>
      <c r="H4" s="1">
        <v>-5.1999999999999997E-5</v>
      </c>
      <c r="I4" s="1">
        <v>6.8100000000000002E-5</v>
      </c>
      <c r="J4" s="1">
        <v>6.8100000000000002E-5</v>
      </c>
      <c r="L4">
        <v>0</v>
      </c>
      <c r="M4">
        <v>0</v>
      </c>
      <c r="N4">
        <v>0</v>
      </c>
      <c r="O4">
        <v>0</v>
      </c>
      <c r="Q4">
        <f t="shared" si="2"/>
        <v>-5.3460000000000001E-6</v>
      </c>
      <c r="R4">
        <f t="shared" si="2"/>
        <v>5.1948299999999999E-5</v>
      </c>
      <c r="S4">
        <f t="shared" si="2"/>
        <v>-6.8041900000000003E-5</v>
      </c>
      <c r="T4">
        <f t="shared" si="2"/>
        <v>-6.8041900000000003E-5</v>
      </c>
      <c r="V4">
        <f t="shared" si="3"/>
        <v>2.4E-8</v>
      </c>
      <c r="W4">
        <f t="shared" si="3"/>
        <v>-5.17E-8</v>
      </c>
      <c r="X4">
        <f t="shared" si="3"/>
        <v>5.8099999999999997E-8</v>
      </c>
      <c r="Y4">
        <f t="shared" si="3"/>
        <v>5.8099999999999997E-8</v>
      </c>
    </row>
    <row r="5" spans="1:25" x14ac:dyDescent="0.2">
      <c r="A5" t="s">
        <v>97</v>
      </c>
      <c r="B5" s="1">
        <v>2.2300000000000001E-8</v>
      </c>
      <c r="C5" s="1">
        <v>-5.1200000000000002E-8</v>
      </c>
      <c r="D5" s="1">
        <v>5.2299999999999998E-8</v>
      </c>
      <c r="E5" s="1">
        <v>5.2299999999999998E-8</v>
      </c>
      <c r="G5" s="1">
        <v>3.7900000000000001E-6</v>
      </c>
      <c r="H5" s="1">
        <v>-3.1000000000000001E-5</v>
      </c>
      <c r="I5" s="1">
        <v>2.1800000000000001E-5</v>
      </c>
      <c r="J5" s="1">
        <v>3.1000000000000001E-5</v>
      </c>
      <c r="L5">
        <v>0</v>
      </c>
      <c r="M5">
        <v>0</v>
      </c>
      <c r="N5">
        <v>0</v>
      </c>
      <c r="O5">
        <v>0</v>
      </c>
      <c r="Q5">
        <f t="shared" si="2"/>
        <v>-3.7676999999999999E-6</v>
      </c>
      <c r="R5">
        <f t="shared" si="2"/>
        <v>3.0948800000000004E-5</v>
      </c>
      <c r="S5">
        <f t="shared" si="2"/>
        <v>-2.1747700000000002E-5</v>
      </c>
      <c r="T5">
        <f t="shared" si="2"/>
        <v>-3.0947700000000002E-5</v>
      </c>
      <c r="V5">
        <f t="shared" si="3"/>
        <v>2.2300000000000001E-8</v>
      </c>
      <c r="W5">
        <f t="shared" si="3"/>
        <v>-5.1200000000000002E-8</v>
      </c>
      <c r="X5">
        <f t="shared" si="3"/>
        <v>5.2299999999999998E-8</v>
      </c>
      <c r="Y5">
        <f t="shared" si="3"/>
        <v>5.2299999999999998E-8</v>
      </c>
    </row>
    <row r="6" spans="1:25" x14ac:dyDescent="0.2">
      <c r="A6" t="s">
        <v>98</v>
      </c>
      <c r="B6" s="1">
        <v>2.29E-8</v>
      </c>
      <c r="C6" s="1">
        <v>-4.7500000000000002E-8</v>
      </c>
      <c r="D6">
        <v>4.9999999999999998E-8</v>
      </c>
      <c r="E6">
        <v>4.9999999999999998E-8</v>
      </c>
      <c r="G6" s="1">
        <v>5.7599999999999999E-6</v>
      </c>
      <c r="H6" s="1">
        <v>-3.2100000000000001E-5</v>
      </c>
      <c r="I6">
        <v>1.41099E-4</v>
      </c>
      <c r="J6">
        <v>1.41099E-4</v>
      </c>
      <c r="L6">
        <v>0</v>
      </c>
      <c r="M6">
        <v>0</v>
      </c>
      <c r="N6">
        <v>0</v>
      </c>
      <c r="O6">
        <v>0</v>
      </c>
      <c r="Q6">
        <f t="shared" si="2"/>
        <v>-5.7370999999999997E-6</v>
      </c>
      <c r="R6">
        <f t="shared" si="2"/>
        <v>3.2052499999999998E-5</v>
      </c>
      <c r="S6">
        <f t="shared" si="2"/>
        <v>-1.41049E-4</v>
      </c>
      <c r="T6">
        <f t="shared" si="2"/>
        <v>-1.41049E-4</v>
      </c>
      <c r="V6">
        <f t="shared" si="3"/>
        <v>2.29E-8</v>
      </c>
      <c r="W6">
        <f t="shared" si="3"/>
        <v>-4.7500000000000002E-8</v>
      </c>
      <c r="X6">
        <f t="shared" si="3"/>
        <v>4.9999999999999998E-8</v>
      </c>
      <c r="Y6">
        <f t="shared" si="3"/>
        <v>4.9999999999999998E-8</v>
      </c>
    </row>
    <row r="7" spans="1:25" x14ac:dyDescent="0.2">
      <c r="A7" t="s">
        <v>99</v>
      </c>
      <c r="B7">
        <v>2.1999999999999998E-8</v>
      </c>
      <c r="C7">
        <v>-4.9999999999999998E-8</v>
      </c>
      <c r="D7" s="1">
        <v>4.4500000000000001E-8</v>
      </c>
      <c r="E7">
        <v>4.9999999999999998E-8</v>
      </c>
      <c r="G7">
        <v>2.1999999999999998E-8</v>
      </c>
      <c r="H7">
        <v>-4.9999999999999998E-8</v>
      </c>
      <c r="I7" s="1">
        <v>4.4500000000000001E-8</v>
      </c>
      <c r="J7">
        <v>4.9999999999999998E-8</v>
      </c>
      <c r="L7">
        <v>2.1999999999999998E-8</v>
      </c>
      <c r="M7">
        <v>-4.9999999999999998E-8</v>
      </c>
      <c r="N7" s="1">
        <v>4.4500000000000001E-8</v>
      </c>
      <c r="O7">
        <v>4.9999999999999998E-8</v>
      </c>
      <c r="Q7">
        <f t="shared" si="2"/>
        <v>0</v>
      </c>
      <c r="R7">
        <f t="shared" si="2"/>
        <v>0</v>
      </c>
      <c r="S7">
        <f t="shared" si="2"/>
        <v>0</v>
      </c>
      <c r="T7">
        <f t="shared" si="2"/>
        <v>0</v>
      </c>
      <c r="V7">
        <f t="shared" si="3"/>
        <v>0</v>
      </c>
      <c r="W7">
        <f t="shared" si="3"/>
        <v>0</v>
      </c>
      <c r="X7">
        <f t="shared" si="3"/>
        <v>0</v>
      </c>
      <c r="Y7">
        <f t="shared" si="3"/>
        <v>0</v>
      </c>
    </row>
    <row r="8" spans="1:25" x14ac:dyDescent="0.2">
      <c r="A8" t="s">
        <v>100</v>
      </c>
      <c r="B8" s="1">
        <v>1.9499999999999999E-8</v>
      </c>
      <c r="C8" s="1">
        <v>-4.5300000000000002E-8</v>
      </c>
      <c r="D8" s="1">
        <v>4.1199999999999998E-8</v>
      </c>
      <c r="E8" s="1">
        <v>4.5300000000000002E-8</v>
      </c>
      <c r="G8" s="1">
        <v>2.6400000000000001E-6</v>
      </c>
      <c r="H8" s="1">
        <v>-2.0100000000000001E-5</v>
      </c>
      <c r="I8" s="1">
        <v>2.19E-5</v>
      </c>
      <c r="J8" s="1">
        <v>2.19E-5</v>
      </c>
      <c r="L8">
        <v>0</v>
      </c>
      <c r="M8">
        <v>0</v>
      </c>
      <c r="N8">
        <v>0</v>
      </c>
      <c r="O8">
        <v>0</v>
      </c>
      <c r="Q8">
        <f t="shared" si="2"/>
        <v>-2.6205000000000002E-6</v>
      </c>
      <c r="R8">
        <f t="shared" si="2"/>
        <v>2.00547E-5</v>
      </c>
      <c r="S8">
        <f t="shared" si="2"/>
        <v>-2.1858800000000002E-5</v>
      </c>
      <c r="T8">
        <f t="shared" si="2"/>
        <v>-2.1854699999999999E-5</v>
      </c>
      <c r="V8">
        <f t="shared" si="3"/>
        <v>1.9499999999999999E-8</v>
      </c>
      <c r="W8">
        <f t="shared" si="3"/>
        <v>-4.5300000000000002E-8</v>
      </c>
      <c r="X8">
        <f t="shared" si="3"/>
        <v>4.1199999999999998E-8</v>
      </c>
      <c r="Y8">
        <f t="shared" si="3"/>
        <v>4.5300000000000002E-8</v>
      </c>
    </row>
    <row r="9" spans="1:25" x14ac:dyDescent="0.2">
      <c r="A9" t="s">
        <v>101</v>
      </c>
      <c r="B9" s="1">
        <v>2.3499999999999999E-8</v>
      </c>
      <c r="C9" s="1">
        <v>-5.0099999999999999E-8</v>
      </c>
      <c r="D9">
        <v>5.1E-8</v>
      </c>
      <c r="E9">
        <v>5.1E-8</v>
      </c>
      <c r="G9" s="1">
        <v>9.8500000000000002E-8</v>
      </c>
      <c r="H9" s="1">
        <v>-3.7399999999999999E-7</v>
      </c>
      <c r="I9" s="1">
        <v>1.8300000000000001E-6</v>
      </c>
      <c r="J9" s="1">
        <v>1.8300000000000001E-6</v>
      </c>
      <c r="L9" s="1">
        <v>2.3499999999999999E-8</v>
      </c>
      <c r="M9" s="1">
        <v>-5.0099999999999999E-8</v>
      </c>
      <c r="N9">
        <v>5.1E-8</v>
      </c>
      <c r="O9">
        <v>5.1E-8</v>
      </c>
      <c r="Q9">
        <f t="shared" si="2"/>
        <v>-7.4999999999999997E-8</v>
      </c>
      <c r="R9">
        <f t="shared" si="2"/>
        <v>3.2389999999999998E-7</v>
      </c>
      <c r="S9">
        <f t="shared" si="2"/>
        <v>-1.779E-6</v>
      </c>
      <c r="T9">
        <f t="shared" si="2"/>
        <v>-1.779E-6</v>
      </c>
      <c r="V9">
        <f t="shared" si="3"/>
        <v>0</v>
      </c>
      <c r="W9">
        <f t="shared" si="3"/>
        <v>0</v>
      </c>
      <c r="X9">
        <f t="shared" si="3"/>
        <v>0</v>
      </c>
      <c r="Y9">
        <f t="shared" si="3"/>
        <v>0</v>
      </c>
    </row>
    <row r="10" spans="1:25" x14ac:dyDescent="0.2">
      <c r="A10" t="s">
        <v>102</v>
      </c>
      <c r="B10" s="1">
        <v>2.11E-8</v>
      </c>
      <c r="C10" s="1">
        <v>-4.5499999999999997E-8</v>
      </c>
      <c r="D10" s="1">
        <v>4.5699999999999999E-8</v>
      </c>
      <c r="E10" s="1">
        <v>4.5699999999999999E-8</v>
      </c>
      <c r="G10" s="1">
        <v>2.1900000000000002E-6</v>
      </c>
      <c r="H10" s="1">
        <v>-1.7200000000000001E-5</v>
      </c>
      <c r="I10" s="1">
        <v>1.43E-5</v>
      </c>
      <c r="J10" s="1">
        <v>1.7200000000000001E-5</v>
      </c>
      <c r="L10">
        <v>0</v>
      </c>
      <c r="M10">
        <v>0</v>
      </c>
      <c r="N10">
        <v>0</v>
      </c>
      <c r="O10">
        <v>0</v>
      </c>
      <c r="Q10">
        <f t="shared" si="2"/>
        <v>-2.1689000000000001E-6</v>
      </c>
      <c r="R10">
        <f t="shared" si="2"/>
        <v>1.71545E-5</v>
      </c>
      <c r="S10">
        <f t="shared" si="2"/>
        <v>-1.42543E-5</v>
      </c>
      <c r="T10">
        <f t="shared" si="2"/>
        <v>-1.7154300000000003E-5</v>
      </c>
      <c r="V10">
        <f t="shared" si="3"/>
        <v>2.11E-8</v>
      </c>
      <c r="W10">
        <f t="shared" si="3"/>
        <v>-4.5499999999999997E-8</v>
      </c>
      <c r="X10">
        <f t="shared" si="3"/>
        <v>4.5699999999999999E-8</v>
      </c>
      <c r="Y10">
        <f t="shared" si="3"/>
        <v>4.5699999999999999E-8</v>
      </c>
    </row>
    <row r="11" spans="1:25" x14ac:dyDescent="0.2">
      <c r="A11" t="s">
        <v>103</v>
      </c>
      <c r="B11" s="1">
        <v>1.9399999999999998E-8</v>
      </c>
      <c r="C11" s="1">
        <v>-5.1100000000000001E-8</v>
      </c>
      <c r="D11" s="1">
        <v>4.6700000000000001E-8</v>
      </c>
      <c r="E11" s="1">
        <v>5.1100000000000001E-8</v>
      </c>
      <c r="G11" s="1">
        <v>1.43E-5</v>
      </c>
      <c r="H11">
        <v>-1.5461199999999999E-4</v>
      </c>
      <c r="I11">
        <v>1.6254099999999999E-4</v>
      </c>
      <c r="J11">
        <v>1.6254099999999999E-4</v>
      </c>
      <c r="L11">
        <v>0</v>
      </c>
      <c r="M11">
        <v>0</v>
      </c>
      <c r="N11">
        <v>0</v>
      </c>
      <c r="O11">
        <v>0</v>
      </c>
      <c r="Q11">
        <f t="shared" si="2"/>
        <v>-1.42806E-5</v>
      </c>
      <c r="R11">
        <f t="shared" si="2"/>
        <v>1.5456089999999999E-4</v>
      </c>
      <c r="S11">
        <f t="shared" si="2"/>
        <v>-1.624943E-4</v>
      </c>
      <c r="T11">
        <f t="shared" si="2"/>
        <v>-1.6248989999999999E-4</v>
      </c>
      <c r="V11">
        <f t="shared" si="3"/>
        <v>1.9399999999999998E-8</v>
      </c>
      <c r="W11">
        <f t="shared" si="3"/>
        <v>-5.1100000000000001E-8</v>
      </c>
      <c r="X11">
        <f t="shared" si="3"/>
        <v>4.6700000000000001E-8</v>
      </c>
      <c r="Y11">
        <f t="shared" si="3"/>
        <v>5.1100000000000001E-8</v>
      </c>
    </row>
    <row r="12" spans="1:25" x14ac:dyDescent="0.2">
      <c r="A12" t="s">
        <v>104</v>
      </c>
      <c r="B12" s="1">
        <v>2.59E-8</v>
      </c>
      <c r="C12" s="1">
        <v>-5.3699999999999998E-8</v>
      </c>
      <c r="D12" s="1">
        <v>5.1100000000000001E-8</v>
      </c>
      <c r="E12" s="1">
        <v>5.3699999999999998E-8</v>
      </c>
      <c r="G12" s="1">
        <v>3.1599999999999998E-6</v>
      </c>
      <c r="H12" s="1">
        <v>-1.06E-5</v>
      </c>
      <c r="I12" s="1">
        <v>9.1100000000000005E-5</v>
      </c>
      <c r="J12" s="1">
        <v>9.1100000000000005E-5</v>
      </c>
      <c r="L12">
        <v>0</v>
      </c>
      <c r="M12">
        <v>0</v>
      </c>
      <c r="N12">
        <v>0</v>
      </c>
      <c r="O12">
        <v>0</v>
      </c>
      <c r="Q12">
        <f t="shared" si="2"/>
        <v>-3.1340999999999998E-6</v>
      </c>
      <c r="R12">
        <f t="shared" si="2"/>
        <v>1.0546300000000001E-5</v>
      </c>
      <c r="S12">
        <f t="shared" si="2"/>
        <v>-9.1048900000000008E-5</v>
      </c>
      <c r="T12">
        <f t="shared" si="2"/>
        <v>-9.1046300000000003E-5</v>
      </c>
      <c r="V12">
        <f t="shared" si="3"/>
        <v>2.59E-8</v>
      </c>
      <c r="W12">
        <f t="shared" si="3"/>
        <v>-5.3699999999999998E-8</v>
      </c>
      <c r="X12">
        <f t="shared" si="3"/>
        <v>5.1100000000000001E-8</v>
      </c>
      <c r="Y12">
        <f t="shared" si="3"/>
        <v>5.3699999999999998E-8</v>
      </c>
    </row>
    <row r="13" spans="1:25" x14ac:dyDescent="0.2">
      <c r="A13" t="s">
        <v>105</v>
      </c>
      <c r="B13" s="1">
        <v>2.22E-8</v>
      </c>
      <c r="C13" s="1">
        <v>-5.3500000000000003E-8</v>
      </c>
      <c r="D13" s="1">
        <v>5.3599999999999997E-8</v>
      </c>
      <c r="E13" s="1">
        <v>5.3599999999999997E-8</v>
      </c>
      <c r="G13" s="1">
        <v>3.2499999999999998E-6</v>
      </c>
      <c r="H13" s="1">
        <v>-1.13E-5</v>
      </c>
      <c r="I13" s="1">
        <v>9.5500000000000004E-5</v>
      </c>
      <c r="J13" s="1">
        <v>9.5500000000000004E-5</v>
      </c>
      <c r="L13" s="1">
        <v>2.2600000000000001E-8</v>
      </c>
      <c r="M13" s="1">
        <v>-4.43E-8</v>
      </c>
      <c r="N13" s="1">
        <v>5.17E-8</v>
      </c>
      <c r="O13" s="1">
        <v>5.17E-8</v>
      </c>
      <c r="Q13">
        <f t="shared" si="2"/>
        <v>-3.2277999999999998E-6</v>
      </c>
      <c r="R13">
        <f t="shared" si="2"/>
        <v>1.12465E-5</v>
      </c>
      <c r="S13">
        <f t="shared" si="2"/>
        <v>-9.5446400000000008E-5</v>
      </c>
      <c r="T13">
        <f t="shared" si="2"/>
        <v>-9.5446400000000008E-5</v>
      </c>
      <c r="V13">
        <f t="shared" si="3"/>
        <v>-4.0000000000000027E-10</v>
      </c>
      <c r="W13">
        <f t="shared" si="3"/>
        <v>-9.200000000000003E-9</v>
      </c>
      <c r="X13">
        <f t="shared" si="3"/>
        <v>1.8999999999999972E-9</v>
      </c>
      <c r="Y13">
        <f t="shared" si="3"/>
        <v>1.8999999999999972E-9</v>
      </c>
    </row>
    <row r="14" spans="1:25" x14ac:dyDescent="0.2">
      <c r="A14" t="s">
        <v>106</v>
      </c>
      <c r="B14" s="1">
        <v>2.03E-8</v>
      </c>
      <c r="C14" s="1">
        <v>-5.0899999999999999E-8</v>
      </c>
      <c r="D14" s="1">
        <v>5.3099999999999999E-8</v>
      </c>
      <c r="E14" s="1">
        <v>5.3099999999999999E-8</v>
      </c>
      <c r="G14" s="1">
        <v>2.4700000000000001E-6</v>
      </c>
      <c r="H14" s="1">
        <v>-1.0699999999999999E-5</v>
      </c>
      <c r="I14" s="1">
        <v>3.1900000000000003E-5</v>
      </c>
      <c r="J14" s="1">
        <v>3.1900000000000003E-5</v>
      </c>
      <c r="L14" s="1">
        <v>2.3199999999999999E-8</v>
      </c>
      <c r="M14" s="1">
        <v>-4.9399999999999999E-8</v>
      </c>
      <c r="N14" s="1">
        <v>5.1100000000000001E-8</v>
      </c>
      <c r="O14" s="1">
        <v>5.1100000000000001E-8</v>
      </c>
      <c r="Q14">
        <f t="shared" si="2"/>
        <v>-2.4497E-6</v>
      </c>
      <c r="R14">
        <f t="shared" si="2"/>
        <v>1.0649099999999999E-5</v>
      </c>
      <c r="S14">
        <f t="shared" si="2"/>
        <v>-3.1846900000000002E-5</v>
      </c>
      <c r="T14">
        <f t="shared" si="2"/>
        <v>-3.1846900000000002E-5</v>
      </c>
      <c r="V14">
        <f t="shared" si="3"/>
        <v>-2.8999999999999995E-9</v>
      </c>
      <c r="W14">
        <f t="shared" si="3"/>
        <v>-1.5000000000000002E-9</v>
      </c>
      <c r="X14">
        <f t="shared" si="3"/>
        <v>1.9999999999999981E-9</v>
      </c>
      <c r="Y14">
        <f t="shared" si="3"/>
        <v>1.9999999999999981E-9</v>
      </c>
    </row>
    <row r="15" spans="1:25" x14ac:dyDescent="0.2">
      <c r="A15" t="s">
        <v>107</v>
      </c>
      <c r="B15" s="1">
        <v>2.2600000000000001E-8</v>
      </c>
      <c r="C15" s="1">
        <v>-5.1200000000000002E-8</v>
      </c>
      <c r="D15" s="1">
        <v>5.7900000000000002E-8</v>
      </c>
      <c r="E15" s="1">
        <v>5.7900000000000002E-8</v>
      </c>
      <c r="G15" s="1">
        <v>4.7400000000000004E-6</v>
      </c>
      <c r="H15">
        <v>-1.58469E-4</v>
      </c>
      <c r="I15" s="1">
        <v>1.5699999999999999E-5</v>
      </c>
      <c r="J15">
        <v>1.58469E-4</v>
      </c>
      <c r="L15" s="1">
        <v>2.1699999999999999E-8</v>
      </c>
      <c r="M15" s="1">
        <v>-5.5199999999999998E-8</v>
      </c>
      <c r="N15" s="1">
        <v>4.6900000000000003E-8</v>
      </c>
      <c r="O15" s="1">
        <v>5.5199999999999998E-8</v>
      </c>
      <c r="Q15">
        <f t="shared" si="2"/>
        <v>-4.7174000000000008E-6</v>
      </c>
      <c r="R15">
        <f t="shared" si="2"/>
        <v>1.584178E-4</v>
      </c>
      <c r="S15">
        <f t="shared" si="2"/>
        <v>-1.5642099999999997E-5</v>
      </c>
      <c r="T15">
        <f t="shared" si="2"/>
        <v>-1.5841109999999999E-4</v>
      </c>
      <c r="V15">
        <f t="shared" si="3"/>
        <v>9.0000000000000144E-10</v>
      </c>
      <c r="W15">
        <f t="shared" si="3"/>
        <v>3.9999999999999961E-9</v>
      </c>
      <c r="X15">
        <f t="shared" si="3"/>
        <v>1.0999999999999999E-8</v>
      </c>
      <c r="Y15">
        <f t="shared" si="3"/>
        <v>2.7000000000000043E-9</v>
      </c>
    </row>
    <row r="16" spans="1:25" x14ac:dyDescent="0.2">
      <c r="A16" t="s">
        <v>108</v>
      </c>
      <c r="B16" s="1">
        <v>2.0899999999999999E-8</v>
      </c>
      <c r="C16" s="1">
        <v>-5.3500000000000003E-8</v>
      </c>
      <c r="D16" s="1">
        <v>5.1599999999999999E-8</v>
      </c>
      <c r="E16" s="1">
        <v>5.3500000000000003E-8</v>
      </c>
      <c r="G16" s="1">
        <v>1.9299999999999999E-7</v>
      </c>
      <c r="H16" s="1">
        <v>-8.6700000000000002E-7</v>
      </c>
      <c r="I16" s="1">
        <v>5.9200000000000001E-6</v>
      </c>
      <c r="J16" s="1">
        <v>5.9200000000000001E-6</v>
      </c>
      <c r="L16" s="1">
        <v>2.0899999999999999E-8</v>
      </c>
      <c r="M16" s="1">
        <v>-5.3500000000000003E-8</v>
      </c>
      <c r="N16" s="1">
        <v>5.1599999999999999E-8</v>
      </c>
      <c r="O16" s="1">
        <v>5.3500000000000003E-8</v>
      </c>
      <c r="Q16">
        <f t="shared" si="2"/>
        <v>-1.7209999999999999E-7</v>
      </c>
      <c r="R16">
        <f t="shared" si="2"/>
        <v>8.1350000000000003E-7</v>
      </c>
      <c r="S16">
        <f t="shared" si="2"/>
        <v>-5.8684000000000004E-6</v>
      </c>
      <c r="T16">
        <f t="shared" si="2"/>
        <v>-5.8664999999999997E-6</v>
      </c>
      <c r="V16">
        <f t="shared" si="3"/>
        <v>0</v>
      </c>
      <c r="W16">
        <f t="shared" si="3"/>
        <v>0</v>
      </c>
      <c r="X16">
        <f t="shared" si="3"/>
        <v>0</v>
      </c>
      <c r="Y16">
        <f t="shared" si="3"/>
        <v>0</v>
      </c>
    </row>
    <row r="17" spans="1:25" x14ac:dyDescent="0.2">
      <c r="A17" t="s">
        <v>109</v>
      </c>
      <c r="B17" s="1">
        <v>2.0899999999999999E-8</v>
      </c>
      <c r="C17" s="1">
        <v>-3.7300000000000003E-8</v>
      </c>
      <c r="D17" s="1">
        <v>4.8599999999999998E-8</v>
      </c>
      <c r="E17" s="1">
        <v>4.8599999999999998E-8</v>
      </c>
      <c r="G17">
        <v>2.0980000000000001E-6</v>
      </c>
      <c r="H17" s="1">
        <v>-7.2400000000000001E-6</v>
      </c>
      <c r="I17" s="1">
        <v>4.6199999999999998E-5</v>
      </c>
      <c r="J17" s="1">
        <v>4.6199999999999998E-5</v>
      </c>
      <c r="L17" s="1">
        <v>1.7800000000000001E-8</v>
      </c>
      <c r="M17" s="1">
        <v>-4.1299999999999999E-8</v>
      </c>
      <c r="N17" s="1">
        <v>4.5699999999999999E-8</v>
      </c>
      <c r="O17" s="1">
        <v>4.5699999999999999E-8</v>
      </c>
      <c r="Q17">
        <f t="shared" si="2"/>
        <v>-2.0771E-6</v>
      </c>
      <c r="R17">
        <f t="shared" si="2"/>
        <v>7.2027000000000005E-6</v>
      </c>
      <c r="S17">
        <f t="shared" si="2"/>
        <v>-4.61514E-5</v>
      </c>
      <c r="T17">
        <f t="shared" si="2"/>
        <v>-4.61514E-5</v>
      </c>
      <c r="V17">
        <f t="shared" si="3"/>
        <v>3.099999999999998E-9</v>
      </c>
      <c r="W17">
        <f t="shared" si="3"/>
        <v>3.9999999999999961E-9</v>
      </c>
      <c r="X17">
        <f t="shared" si="3"/>
        <v>2.8999999999999995E-9</v>
      </c>
      <c r="Y17">
        <f t="shared" si="3"/>
        <v>2.8999999999999995E-9</v>
      </c>
    </row>
    <row r="18" spans="1:25" x14ac:dyDescent="0.2">
      <c r="A18" t="s">
        <v>110</v>
      </c>
      <c r="B18" s="1">
        <v>2.2399999999999999E-8</v>
      </c>
      <c r="C18" s="1">
        <v>-4.6800000000000002E-8</v>
      </c>
      <c r="D18">
        <v>5.8000000000000003E-8</v>
      </c>
      <c r="E18">
        <v>5.8000000000000003E-8</v>
      </c>
      <c r="G18" s="1">
        <v>1.5200000000000001E-6</v>
      </c>
      <c r="H18" s="1">
        <v>-1.01E-5</v>
      </c>
      <c r="I18" s="1">
        <v>1.5E-5</v>
      </c>
      <c r="J18" s="1">
        <v>1.5E-5</v>
      </c>
      <c r="L18" s="1">
        <v>2.3199999999999999E-8</v>
      </c>
      <c r="M18">
        <v>-5.2999999999999998E-8</v>
      </c>
      <c r="N18" s="1">
        <v>3.84E-8</v>
      </c>
      <c r="O18">
        <v>5.2999999999999998E-8</v>
      </c>
      <c r="Q18">
        <f t="shared" si="2"/>
        <v>-1.4976000000000001E-6</v>
      </c>
      <c r="R18">
        <f t="shared" si="2"/>
        <v>1.0053200000000001E-5</v>
      </c>
      <c r="S18">
        <f t="shared" si="2"/>
        <v>-1.4942E-5</v>
      </c>
      <c r="T18">
        <f t="shared" si="2"/>
        <v>-1.4942E-5</v>
      </c>
      <c r="V18">
        <f t="shared" si="3"/>
        <v>-8.0000000000000055E-10</v>
      </c>
      <c r="W18">
        <f t="shared" si="3"/>
        <v>6.199999999999996E-9</v>
      </c>
      <c r="X18">
        <f t="shared" si="3"/>
        <v>1.9600000000000003E-8</v>
      </c>
      <c r="Y18">
        <f t="shared" si="3"/>
        <v>5.0000000000000051E-9</v>
      </c>
    </row>
    <row r="19" spans="1:25" x14ac:dyDescent="0.2">
      <c r="A19" t="s">
        <v>111</v>
      </c>
      <c r="B19" s="1">
        <v>2.0899999999999999E-8</v>
      </c>
      <c r="C19" s="1">
        <v>-5.4100000000000001E-8</v>
      </c>
      <c r="D19" s="1">
        <v>4.06E-8</v>
      </c>
      <c r="E19" s="1">
        <v>5.4100000000000001E-8</v>
      </c>
      <c r="G19">
        <v>1.6670000000000001E-6</v>
      </c>
      <c r="H19" s="1">
        <v>-1.8E-5</v>
      </c>
      <c r="I19" s="1">
        <v>1.4100000000000001E-5</v>
      </c>
      <c r="J19" s="1">
        <v>1.8E-5</v>
      </c>
      <c r="L19" s="1">
        <v>1.7299999999999999E-8</v>
      </c>
      <c r="M19" s="1">
        <v>-4.51E-8</v>
      </c>
      <c r="N19" s="1">
        <v>4.1099999999999997E-8</v>
      </c>
      <c r="O19" s="1">
        <v>4.51E-8</v>
      </c>
      <c r="Q19">
        <f t="shared" si="2"/>
        <v>-1.6461E-6</v>
      </c>
      <c r="R19">
        <f t="shared" si="2"/>
        <v>1.79459E-5</v>
      </c>
      <c r="S19">
        <f t="shared" si="2"/>
        <v>-1.4059400000000001E-5</v>
      </c>
      <c r="T19">
        <f t="shared" si="2"/>
        <v>-1.79459E-5</v>
      </c>
      <c r="V19">
        <f t="shared" si="3"/>
        <v>3.5999999999999991E-9</v>
      </c>
      <c r="W19">
        <f t="shared" si="3"/>
        <v>-9.0000000000000012E-9</v>
      </c>
      <c r="X19">
        <f t="shared" si="3"/>
        <v>-4.9999999999999786E-10</v>
      </c>
      <c r="Y19">
        <f t="shared" si="3"/>
        <v>9.0000000000000012E-9</v>
      </c>
    </row>
    <row r="20" spans="1:25" x14ac:dyDescent="0.2">
      <c r="A20" t="s">
        <v>112</v>
      </c>
      <c r="B20" s="1">
        <v>2.2099999999999999E-8</v>
      </c>
      <c r="C20" s="1">
        <v>-5.39E-8</v>
      </c>
      <c r="D20" s="1">
        <v>5.1900000000000002E-8</v>
      </c>
      <c r="E20" s="1">
        <v>5.39E-8</v>
      </c>
      <c r="G20" s="1">
        <v>1.06E-6</v>
      </c>
      <c r="H20" s="1">
        <v>-1.5999999999999999E-5</v>
      </c>
      <c r="I20" s="1">
        <v>1.3699999999999999E-5</v>
      </c>
      <c r="J20" s="1">
        <v>1.5999999999999999E-5</v>
      </c>
      <c r="L20" s="1">
        <v>2.3400000000000001E-8</v>
      </c>
      <c r="M20" s="1">
        <v>-4.8300000000000002E-8</v>
      </c>
      <c r="N20" s="1">
        <v>5.3699999999999998E-8</v>
      </c>
      <c r="O20" s="1">
        <v>5.3699999999999998E-8</v>
      </c>
      <c r="Q20">
        <f t="shared" si="2"/>
        <v>-1.0379E-6</v>
      </c>
      <c r="R20">
        <f t="shared" si="2"/>
        <v>1.59461E-5</v>
      </c>
      <c r="S20">
        <f t="shared" si="2"/>
        <v>-1.3648099999999999E-5</v>
      </c>
      <c r="T20">
        <f t="shared" si="2"/>
        <v>-1.59461E-5</v>
      </c>
      <c r="V20">
        <f t="shared" si="3"/>
        <v>-1.3000000000000017E-9</v>
      </c>
      <c r="W20">
        <f t="shared" si="3"/>
        <v>-5.5999999999999972E-9</v>
      </c>
      <c r="X20">
        <f t="shared" si="3"/>
        <v>-1.7999999999999963E-9</v>
      </c>
      <c r="Y20">
        <f t="shared" si="3"/>
        <v>2.0000000000000179E-10</v>
      </c>
    </row>
    <row r="21" spans="1:25" x14ac:dyDescent="0.2">
      <c r="A21" t="s">
        <v>113</v>
      </c>
      <c r="B21" s="1">
        <v>2.4299999999999999E-8</v>
      </c>
      <c r="C21" s="1">
        <v>-4.29E-8</v>
      </c>
      <c r="D21" s="1">
        <v>4.3700000000000001E-8</v>
      </c>
      <c r="E21" s="1">
        <v>4.3700000000000001E-8</v>
      </c>
      <c r="G21" s="1">
        <v>7.0500000000000003E-8</v>
      </c>
      <c r="H21" s="1">
        <v>-9.6599999999999994E-7</v>
      </c>
      <c r="I21" s="1">
        <v>3.3700000000000001E-7</v>
      </c>
      <c r="J21" s="1">
        <v>9.6599999999999994E-7</v>
      </c>
      <c r="L21" s="1">
        <v>2.4299999999999999E-8</v>
      </c>
      <c r="M21" s="1">
        <v>-4.29E-8</v>
      </c>
      <c r="N21" s="1">
        <v>4.3700000000000001E-8</v>
      </c>
      <c r="O21" s="1">
        <v>4.3700000000000001E-8</v>
      </c>
      <c r="Q21">
        <f t="shared" si="2"/>
        <v>-4.6200000000000003E-8</v>
      </c>
      <c r="R21">
        <f t="shared" si="2"/>
        <v>9.2309999999999989E-7</v>
      </c>
      <c r="S21">
        <f t="shared" si="2"/>
        <v>-2.9330000000000001E-7</v>
      </c>
      <c r="T21">
        <f t="shared" si="2"/>
        <v>-9.2229999999999994E-7</v>
      </c>
      <c r="V21">
        <f t="shared" si="3"/>
        <v>0</v>
      </c>
      <c r="W21">
        <f t="shared" si="3"/>
        <v>0</v>
      </c>
      <c r="X21">
        <f t="shared" si="3"/>
        <v>0</v>
      </c>
      <c r="Y21">
        <f t="shared" si="3"/>
        <v>0</v>
      </c>
    </row>
    <row r="22" spans="1:25" x14ac:dyDescent="0.2">
      <c r="A22" t="s">
        <v>114</v>
      </c>
      <c r="B22" s="1">
        <v>2.03E-8</v>
      </c>
      <c r="C22" s="1">
        <v>-4.5599999999999998E-8</v>
      </c>
      <c r="D22" s="1">
        <v>3.3500000000000002E-8</v>
      </c>
      <c r="E22" s="1">
        <v>4.5599999999999998E-8</v>
      </c>
      <c r="G22" s="1">
        <v>5.7900000000000002E-8</v>
      </c>
      <c r="H22" s="1">
        <v>-4.03E-7</v>
      </c>
      <c r="I22" s="1">
        <v>3.5699999999999998E-7</v>
      </c>
      <c r="J22" s="1">
        <v>4.03E-7</v>
      </c>
      <c r="L22" s="1">
        <v>2.03E-8</v>
      </c>
      <c r="M22" s="1">
        <v>-4.5599999999999998E-8</v>
      </c>
      <c r="N22" s="1">
        <v>3.3500000000000002E-8</v>
      </c>
      <c r="O22" s="1">
        <v>4.5599999999999998E-8</v>
      </c>
      <c r="Q22">
        <f t="shared" si="2"/>
        <v>-3.7600000000000006E-8</v>
      </c>
      <c r="R22">
        <f t="shared" si="2"/>
        <v>3.5740000000000001E-7</v>
      </c>
      <c r="S22">
        <f t="shared" si="2"/>
        <v>-3.2349999999999995E-7</v>
      </c>
      <c r="T22">
        <f t="shared" si="2"/>
        <v>-3.5740000000000001E-7</v>
      </c>
      <c r="V22">
        <f t="shared" si="3"/>
        <v>0</v>
      </c>
      <c r="W22">
        <f t="shared" si="3"/>
        <v>0</v>
      </c>
      <c r="X22">
        <f t="shared" si="3"/>
        <v>0</v>
      </c>
      <c r="Y22">
        <f t="shared" si="3"/>
        <v>0</v>
      </c>
    </row>
    <row r="23" spans="1:25" x14ac:dyDescent="0.2">
      <c r="A23" t="s">
        <v>115</v>
      </c>
      <c r="B23" s="1">
        <v>1.81E-8</v>
      </c>
      <c r="C23" s="1">
        <v>-5.3699999999999998E-8</v>
      </c>
      <c r="D23" s="1">
        <v>4.8400000000000003E-8</v>
      </c>
      <c r="E23" s="1">
        <v>5.3699999999999998E-8</v>
      </c>
      <c r="G23" s="1">
        <v>5.8299999999999997E-7</v>
      </c>
      <c r="H23" s="1">
        <v>-8.0399999999999993E-6</v>
      </c>
      <c r="I23" s="1">
        <v>1.13E-5</v>
      </c>
      <c r="J23" s="1">
        <v>1.13E-5</v>
      </c>
      <c r="L23" s="1">
        <v>2.1200000000000001E-8</v>
      </c>
      <c r="M23" s="1">
        <v>-5.1200000000000002E-8</v>
      </c>
      <c r="N23" s="1">
        <v>4.1500000000000001E-8</v>
      </c>
      <c r="O23" s="1">
        <v>5.1200000000000002E-8</v>
      </c>
      <c r="Q23">
        <f t="shared" si="2"/>
        <v>-5.6489999999999998E-7</v>
      </c>
      <c r="R23">
        <f t="shared" si="2"/>
        <v>7.9863000000000001E-6</v>
      </c>
      <c r="S23">
        <f t="shared" si="2"/>
        <v>-1.1251600000000001E-5</v>
      </c>
      <c r="T23">
        <f t="shared" si="2"/>
        <v>-1.1246300000000001E-5</v>
      </c>
      <c r="V23">
        <f t="shared" si="3"/>
        <v>-3.1000000000000013E-9</v>
      </c>
      <c r="W23">
        <f t="shared" si="3"/>
        <v>-2.4999999999999959E-9</v>
      </c>
      <c r="X23">
        <f t="shared" si="3"/>
        <v>6.9000000000000022E-9</v>
      </c>
      <c r="Y23">
        <f t="shared" si="3"/>
        <v>2.4999999999999959E-9</v>
      </c>
    </row>
    <row r="24" spans="1:25" x14ac:dyDescent="0.2">
      <c r="A24" t="s">
        <v>116</v>
      </c>
      <c r="B24" s="1">
        <v>2.3099999999999998E-8</v>
      </c>
      <c r="C24" s="1">
        <v>-5.4100000000000001E-8</v>
      </c>
      <c r="D24" s="1">
        <v>4.9100000000000003E-8</v>
      </c>
      <c r="E24" s="1">
        <v>5.4100000000000001E-8</v>
      </c>
      <c r="G24" s="1">
        <v>8.1999999999999998E-7</v>
      </c>
      <c r="H24" s="1">
        <v>-2.41E-5</v>
      </c>
      <c r="I24" s="1">
        <v>1.28E-6</v>
      </c>
      <c r="J24" s="1">
        <v>2.41E-5</v>
      </c>
      <c r="L24" s="1">
        <v>2.55E-8</v>
      </c>
      <c r="M24">
        <v>-5.5999999999999999E-8</v>
      </c>
      <c r="N24" s="1">
        <v>5.1300000000000003E-8</v>
      </c>
      <c r="O24">
        <v>5.5999999999999999E-8</v>
      </c>
      <c r="Q24">
        <f t="shared" si="2"/>
        <v>-7.9689999999999994E-7</v>
      </c>
      <c r="R24">
        <f t="shared" si="2"/>
        <v>2.40459E-5</v>
      </c>
      <c r="S24">
        <f t="shared" si="2"/>
        <v>-1.2308999999999999E-6</v>
      </c>
      <c r="T24">
        <f t="shared" si="2"/>
        <v>-2.40459E-5</v>
      </c>
      <c r="V24">
        <f t="shared" si="3"/>
        <v>-2.4000000000000016E-9</v>
      </c>
      <c r="W24">
        <f t="shared" si="3"/>
        <v>1.8999999999999972E-9</v>
      </c>
      <c r="X24">
        <f t="shared" si="3"/>
        <v>-2.1999999999999998E-9</v>
      </c>
      <c r="Y24">
        <f t="shared" si="3"/>
        <v>-1.8999999999999972E-9</v>
      </c>
    </row>
    <row r="25" spans="1:25" x14ac:dyDescent="0.2">
      <c r="A25" t="s">
        <v>117</v>
      </c>
      <c r="B25" s="1">
        <v>1.8600000000000001E-8</v>
      </c>
      <c r="C25" s="1">
        <v>-5.4300000000000003E-8</v>
      </c>
      <c r="D25" s="1">
        <v>4.4799999999999997E-8</v>
      </c>
      <c r="E25" s="1">
        <v>5.4300000000000003E-8</v>
      </c>
      <c r="G25" s="1">
        <v>4.9200000000000001E-7</v>
      </c>
      <c r="H25" s="1">
        <v>-1.1599999999999999E-6</v>
      </c>
      <c r="I25" s="1">
        <v>1.8099999999999999E-5</v>
      </c>
      <c r="J25" s="1">
        <v>1.8099999999999999E-5</v>
      </c>
      <c r="L25" s="1">
        <v>2.3499999999999999E-8</v>
      </c>
      <c r="M25" s="1">
        <v>-5.5099999999999997E-8</v>
      </c>
      <c r="N25">
        <v>4.9000000000000002E-8</v>
      </c>
      <c r="O25" s="1">
        <v>5.5099999999999997E-8</v>
      </c>
      <c r="Q25">
        <f t="shared" si="2"/>
        <v>-4.7339999999999999E-7</v>
      </c>
      <c r="R25">
        <f t="shared" si="2"/>
        <v>1.1056999999999998E-6</v>
      </c>
      <c r="S25">
        <f t="shared" si="2"/>
        <v>-1.80552E-5</v>
      </c>
      <c r="T25">
        <f t="shared" si="2"/>
        <v>-1.8045699999999999E-5</v>
      </c>
      <c r="V25">
        <f t="shared" si="3"/>
        <v>-4.8999999999999976E-9</v>
      </c>
      <c r="W25">
        <f t="shared" si="3"/>
        <v>7.9999999999999393E-10</v>
      </c>
      <c r="X25">
        <f t="shared" si="3"/>
        <v>-4.2000000000000045E-9</v>
      </c>
      <c r="Y25">
        <f t="shared" si="3"/>
        <v>-7.9999999999999393E-10</v>
      </c>
    </row>
    <row r="26" spans="1:25" x14ac:dyDescent="0.2">
      <c r="A26" t="s">
        <v>118</v>
      </c>
      <c r="B26" s="1">
        <v>2.0100000000000001E-8</v>
      </c>
      <c r="C26" s="1">
        <v>-4.58E-8</v>
      </c>
      <c r="D26" s="1">
        <v>4.8300000000000002E-8</v>
      </c>
      <c r="E26" s="1">
        <v>4.8300000000000002E-8</v>
      </c>
      <c r="G26" s="1">
        <v>6.2900000000000003E-7</v>
      </c>
      <c r="H26">
        <v>-5.3290000000000001E-6</v>
      </c>
      <c r="I26" s="1">
        <v>1.19E-5</v>
      </c>
      <c r="J26" s="1">
        <v>1.19E-5</v>
      </c>
      <c r="L26" s="1">
        <v>2.0500000000000002E-8</v>
      </c>
      <c r="M26" s="1">
        <v>-4.3100000000000002E-8</v>
      </c>
      <c r="N26" s="1">
        <v>4.4600000000000002E-8</v>
      </c>
      <c r="O26" s="1">
        <v>4.4600000000000002E-8</v>
      </c>
      <c r="Q26">
        <f t="shared" si="2"/>
        <v>-6.0890000000000001E-7</v>
      </c>
      <c r="R26">
        <f t="shared" si="2"/>
        <v>5.2832000000000005E-6</v>
      </c>
      <c r="S26">
        <f t="shared" si="2"/>
        <v>-1.18517E-5</v>
      </c>
      <c r="T26">
        <f t="shared" si="2"/>
        <v>-1.18517E-5</v>
      </c>
      <c r="V26">
        <f t="shared" si="3"/>
        <v>-4.0000000000000027E-10</v>
      </c>
      <c r="W26">
        <f t="shared" si="3"/>
        <v>-2.6999999999999977E-9</v>
      </c>
      <c r="X26">
        <f t="shared" si="3"/>
        <v>3.7E-9</v>
      </c>
      <c r="Y26">
        <f t="shared" si="3"/>
        <v>3.7E-9</v>
      </c>
    </row>
    <row r="27" spans="1:25" x14ac:dyDescent="0.2">
      <c r="A27" t="s">
        <v>119</v>
      </c>
      <c r="B27" s="1">
        <v>2.25E-8</v>
      </c>
      <c r="C27" s="1">
        <v>-4.7899999999999999E-8</v>
      </c>
      <c r="D27" s="1">
        <v>5.0899999999999999E-8</v>
      </c>
      <c r="E27" s="1">
        <v>5.0899999999999999E-8</v>
      </c>
      <c r="G27" s="1">
        <v>8.3799999999999996E-8</v>
      </c>
      <c r="H27" s="1">
        <v>-5.6599999999999996E-7</v>
      </c>
      <c r="I27">
        <v>4.1100000000000001E-7</v>
      </c>
      <c r="J27" s="1">
        <v>5.6599999999999996E-7</v>
      </c>
      <c r="L27" s="1">
        <v>1.9499999999999999E-8</v>
      </c>
      <c r="M27" s="1">
        <v>-5.1499999999999998E-8</v>
      </c>
      <c r="N27" s="1">
        <v>4.4099999999999998E-8</v>
      </c>
      <c r="O27" s="1">
        <v>5.1499999999999998E-8</v>
      </c>
      <c r="Q27">
        <f t="shared" si="2"/>
        <v>-6.13E-8</v>
      </c>
      <c r="R27">
        <f t="shared" si="2"/>
        <v>5.1809999999999996E-7</v>
      </c>
      <c r="S27">
        <f t="shared" si="2"/>
        <v>-3.601E-7</v>
      </c>
      <c r="T27">
        <f t="shared" si="2"/>
        <v>-5.1509999999999995E-7</v>
      </c>
      <c r="V27">
        <f t="shared" si="3"/>
        <v>3.0000000000000004E-9</v>
      </c>
      <c r="W27">
        <f t="shared" si="3"/>
        <v>3.5999999999999991E-9</v>
      </c>
      <c r="X27">
        <f t="shared" si="3"/>
        <v>6.8000000000000013E-9</v>
      </c>
      <c r="Y27">
        <f t="shared" si="3"/>
        <v>-5.9999999999999876E-10</v>
      </c>
    </row>
    <row r="28" spans="1:25" x14ac:dyDescent="0.2">
      <c r="A28" t="s">
        <v>120</v>
      </c>
      <c r="B28" s="1">
        <v>1.9799999999999999E-8</v>
      </c>
      <c r="C28" s="1">
        <v>-5.1900000000000002E-8</v>
      </c>
      <c r="D28" s="1">
        <v>5.2199999999999998E-8</v>
      </c>
      <c r="E28" s="1">
        <v>5.2199999999999998E-8</v>
      </c>
      <c r="G28" s="1">
        <v>5.8899999999999999E-7</v>
      </c>
      <c r="H28" s="1">
        <v>-4.6199999999999998E-6</v>
      </c>
      <c r="I28" s="1">
        <v>1.08E-5</v>
      </c>
      <c r="J28" s="1">
        <v>1.08E-5</v>
      </c>
      <c r="L28" s="1">
        <v>2.1500000000000001E-8</v>
      </c>
      <c r="M28" s="1">
        <v>-5.1900000000000002E-8</v>
      </c>
      <c r="N28" s="1">
        <v>4.73E-8</v>
      </c>
      <c r="O28" s="1">
        <v>5.1900000000000002E-8</v>
      </c>
      <c r="Q28">
        <f t="shared" si="2"/>
        <v>-5.6919999999999999E-7</v>
      </c>
      <c r="R28">
        <f t="shared" si="2"/>
        <v>4.5680999999999995E-6</v>
      </c>
      <c r="S28">
        <f t="shared" si="2"/>
        <v>-1.0747800000000001E-5</v>
      </c>
      <c r="T28">
        <f t="shared" si="2"/>
        <v>-1.0747800000000001E-5</v>
      </c>
      <c r="V28">
        <f t="shared" si="3"/>
        <v>-1.700000000000002E-9</v>
      </c>
      <c r="W28">
        <f t="shared" si="3"/>
        <v>0</v>
      </c>
      <c r="X28">
        <f t="shared" si="3"/>
        <v>4.8999999999999976E-9</v>
      </c>
      <c r="Y28">
        <f t="shared" si="3"/>
        <v>2.9999999999999607E-10</v>
      </c>
    </row>
    <row r="29" spans="1:25" x14ac:dyDescent="0.2">
      <c r="A29" t="s">
        <v>121</v>
      </c>
      <c r="B29" s="1">
        <v>2.2600000000000001E-8</v>
      </c>
      <c r="C29" s="1">
        <v>-4.5699999999999999E-8</v>
      </c>
      <c r="D29" s="1">
        <v>4.7199999999999999E-8</v>
      </c>
      <c r="E29" s="1">
        <v>4.7199999999999999E-8</v>
      </c>
      <c r="G29" s="1">
        <v>8.4600000000000003E-8</v>
      </c>
      <c r="H29" s="1">
        <v>-9.7100000000000011E-7</v>
      </c>
      <c r="I29" s="1">
        <v>3.7099999999999997E-7</v>
      </c>
      <c r="J29" s="1">
        <v>9.7100000000000011E-7</v>
      </c>
      <c r="L29">
        <v>2.3000000000000001E-8</v>
      </c>
      <c r="M29" s="1">
        <v>-3.7800000000000001E-8</v>
      </c>
      <c r="N29" s="1">
        <v>5.2899999999999997E-8</v>
      </c>
      <c r="O29" s="1">
        <v>5.2899999999999997E-8</v>
      </c>
      <c r="Q29">
        <f t="shared" si="2"/>
        <v>-6.1999999999999999E-8</v>
      </c>
      <c r="R29">
        <f t="shared" si="2"/>
        <v>9.2530000000000006E-7</v>
      </c>
      <c r="S29">
        <f t="shared" si="2"/>
        <v>-3.2379999999999997E-7</v>
      </c>
      <c r="T29">
        <f t="shared" si="2"/>
        <v>-9.2380000000000016E-7</v>
      </c>
      <c r="V29">
        <f t="shared" si="3"/>
        <v>-4.0000000000000027E-10</v>
      </c>
      <c r="W29">
        <f t="shared" si="3"/>
        <v>-7.8999999999999979E-9</v>
      </c>
      <c r="X29">
        <f t="shared" si="3"/>
        <v>-5.6999999999999981E-9</v>
      </c>
      <c r="Y29">
        <f t="shared" si="3"/>
        <v>-5.6999999999999981E-9</v>
      </c>
    </row>
    <row r="30" spans="1:25" x14ac:dyDescent="0.2">
      <c r="A30" t="s">
        <v>122</v>
      </c>
      <c r="B30" s="1">
        <v>1.96E-8</v>
      </c>
      <c r="C30" s="1">
        <v>-5.1100000000000001E-8</v>
      </c>
      <c r="D30" s="1">
        <v>5.03E-8</v>
      </c>
      <c r="E30" s="1">
        <v>5.1100000000000001E-8</v>
      </c>
      <c r="G30" s="1">
        <v>4.7899999999999999E-7</v>
      </c>
      <c r="H30" s="1">
        <v>-2.7E-6</v>
      </c>
      <c r="I30" s="1">
        <v>3.19E-6</v>
      </c>
      <c r="J30" s="1">
        <v>3.19E-6</v>
      </c>
      <c r="L30" s="1">
        <v>1.96E-8</v>
      </c>
      <c r="M30" s="1">
        <v>-5.1100000000000001E-8</v>
      </c>
      <c r="N30" s="1">
        <v>5.03E-8</v>
      </c>
      <c r="O30" s="1">
        <v>5.1100000000000001E-8</v>
      </c>
      <c r="Q30">
        <f t="shared" si="2"/>
        <v>-4.594E-7</v>
      </c>
      <c r="R30">
        <f t="shared" si="2"/>
        <v>2.6489000000000002E-6</v>
      </c>
      <c r="S30">
        <f t="shared" si="2"/>
        <v>-3.1396999999999998E-6</v>
      </c>
      <c r="T30">
        <f t="shared" si="2"/>
        <v>-3.1389000000000001E-6</v>
      </c>
      <c r="V30">
        <f t="shared" si="3"/>
        <v>0</v>
      </c>
      <c r="W30">
        <f t="shared" si="3"/>
        <v>0</v>
      </c>
      <c r="X30">
        <f t="shared" si="3"/>
        <v>0</v>
      </c>
      <c r="Y30">
        <f t="shared" si="3"/>
        <v>0</v>
      </c>
    </row>
    <row r="31" spans="1:25" x14ac:dyDescent="0.2">
      <c r="A31" t="s">
        <v>123</v>
      </c>
      <c r="B31" s="1">
        <v>2.0400000000000001E-8</v>
      </c>
      <c r="C31" s="1">
        <v>-4.1099999999999997E-8</v>
      </c>
      <c r="D31" s="1">
        <v>4.8200000000000001E-8</v>
      </c>
      <c r="E31" s="1">
        <v>4.8200000000000001E-8</v>
      </c>
      <c r="G31" s="1">
        <v>1.6899999999999999E-7</v>
      </c>
      <c r="H31" s="1">
        <v>-2.7499999999999999E-6</v>
      </c>
      <c r="I31">
        <v>4.3799999999999998E-7</v>
      </c>
      <c r="J31" s="1">
        <v>2.7499999999999999E-6</v>
      </c>
      <c r="L31" s="1">
        <v>2.0400000000000001E-8</v>
      </c>
      <c r="M31" s="1">
        <v>-4.1099999999999997E-8</v>
      </c>
      <c r="N31" s="1">
        <v>4.8200000000000001E-8</v>
      </c>
      <c r="O31" s="1">
        <v>4.8200000000000001E-8</v>
      </c>
      <c r="Q31">
        <f t="shared" si="2"/>
        <v>-1.4859999999999999E-7</v>
      </c>
      <c r="R31">
        <f t="shared" si="2"/>
        <v>2.7089E-6</v>
      </c>
      <c r="S31">
        <f t="shared" si="2"/>
        <v>-3.8979999999999996E-7</v>
      </c>
      <c r="T31">
        <f t="shared" si="2"/>
        <v>-2.7018000000000001E-6</v>
      </c>
      <c r="V31">
        <f t="shared" si="3"/>
        <v>0</v>
      </c>
      <c r="W31">
        <f t="shared" si="3"/>
        <v>0</v>
      </c>
      <c r="X31">
        <f t="shared" si="3"/>
        <v>0</v>
      </c>
      <c r="Y31">
        <f t="shared" si="3"/>
        <v>0</v>
      </c>
    </row>
    <row r="32" spans="1:25" x14ac:dyDescent="0.2">
      <c r="A32" t="s">
        <v>124</v>
      </c>
      <c r="B32" s="1">
        <v>2.1900000000000001E-8</v>
      </c>
      <c r="C32" s="1">
        <v>-5.4499999999999998E-8</v>
      </c>
      <c r="D32" s="1">
        <v>5.2299999999999998E-8</v>
      </c>
      <c r="E32" s="1">
        <v>5.4499999999999998E-8</v>
      </c>
      <c r="G32" s="1">
        <v>6.8499999999999998E-8</v>
      </c>
      <c r="H32" s="1">
        <v>-1.1999999999999999E-6</v>
      </c>
      <c r="I32" s="1">
        <v>2.72E-7</v>
      </c>
      <c r="J32" s="1">
        <v>1.1999999999999999E-6</v>
      </c>
      <c r="L32" s="1">
        <v>2.1900000000000001E-8</v>
      </c>
      <c r="M32" s="1">
        <v>-5.4499999999999998E-8</v>
      </c>
      <c r="N32" s="1">
        <v>5.2299999999999998E-8</v>
      </c>
      <c r="O32" s="1">
        <v>5.4499999999999998E-8</v>
      </c>
      <c r="Q32">
        <f t="shared" si="2"/>
        <v>-4.6599999999999994E-8</v>
      </c>
      <c r="R32">
        <f t="shared" si="2"/>
        <v>1.1454999999999999E-6</v>
      </c>
      <c r="S32">
        <f t="shared" si="2"/>
        <v>-2.1969999999999999E-7</v>
      </c>
      <c r="T32">
        <f t="shared" si="2"/>
        <v>-1.1454999999999999E-6</v>
      </c>
      <c r="V32">
        <f t="shared" si="3"/>
        <v>0</v>
      </c>
      <c r="W32">
        <f t="shared" si="3"/>
        <v>0</v>
      </c>
      <c r="X32">
        <f t="shared" si="3"/>
        <v>0</v>
      </c>
      <c r="Y32">
        <f t="shared" si="3"/>
        <v>0</v>
      </c>
    </row>
    <row r="33" spans="1:25" x14ac:dyDescent="0.2">
      <c r="A33" t="s">
        <v>125</v>
      </c>
      <c r="B33" s="1">
        <v>2.3099999999999998E-8</v>
      </c>
      <c r="C33" s="1">
        <v>-4.8100000000000001E-8</v>
      </c>
      <c r="D33" s="1">
        <v>5.1900000000000002E-8</v>
      </c>
      <c r="E33" s="1">
        <v>5.1900000000000002E-8</v>
      </c>
      <c r="G33" s="1">
        <v>1.23E-7</v>
      </c>
      <c r="H33" s="1">
        <v>-1.26E-6</v>
      </c>
      <c r="I33" s="1">
        <v>1.3799999999999999E-6</v>
      </c>
      <c r="J33" s="1">
        <v>1.3799999999999999E-6</v>
      </c>
      <c r="L33" s="1">
        <v>2.3099999999999998E-8</v>
      </c>
      <c r="M33" s="1">
        <v>-4.8100000000000001E-8</v>
      </c>
      <c r="N33" s="1">
        <v>5.1900000000000002E-8</v>
      </c>
      <c r="O33" s="1">
        <v>5.1900000000000002E-8</v>
      </c>
      <c r="Q33">
        <f t="shared" si="2"/>
        <v>-9.9900000000000001E-8</v>
      </c>
      <c r="R33">
        <f t="shared" si="2"/>
        <v>1.2119E-6</v>
      </c>
      <c r="S33">
        <f t="shared" si="2"/>
        <v>-1.3280999999999998E-6</v>
      </c>
      <c r="T33">
        <f t="shared" si="2"/>
        <v>-1.3280999999999998E-6</v>
      </c>
      <c r="V33">
        <f t="shared" si="3"/>
        <v>0</v>
      </c>
      <c r="W33">
        <f t="shared" si="3"/>
        <v>0</v>
      </c>
      <c r="X33">
        <f t="shared" si="3"/>
        <v>0</v>
      </c>
      <c r="Y33">
        <f t="shared" si="3"/>
        <v>0</v>
      </c>
    </row>
    <row r="34" spans="1:25" x14ac:dyDescent="0.2">
      <c r="A34" t="s">
        <v>126</v>
      </c>
      <c r="B34">
        <v>0</v>
      </c>
      <c r="C34">
        <v>0</v>
      </c>
      <c r="D34">
        <v>0</v>
      </c>
      <c r="E34">
        <v>0</v>
      </c>
      <c r="G34">
        <v>0</v>
      </c>
      <c r="H34">
        <v>0</v>
      </c>
      <c r="I34">
        <v>0</v>
      </c>
      <c r="J34">
        <v>0</v>
      </c>
      <c r="L34">
        <v>0</v>
      </c>
      <c r="M34">
        <v>0</v>
      </c>
      <c r="N34">
        <v>0</v>
      </c>
      <c r="O34">
        <v>0</v>
      </c>
      <c r="Q34">
        <f t="shared" si="2"/>
        <v>0</v>
      </c>
      <c r="R34">
        <f t="shared" si="2"/>
        <v>0</v>
      </c>
      <c r="S34">
        <f t="shared" si="2"/>
        <v>0</v>
      </c>
      <c r="T34">
        <f t="shared" si="2"/>
        <v>0</v>
      </c>
      <c r="V34">
        <f t="shared" si="3"/>
        <v>0</v>
      </c>
      <c r="W34">
        <f t="shared" si="3"/>
        <v>0</v>
      </c>
      <c r="X34">
        <f t="shared" si="3"/>
        <v>0</v>
      </c>
      <c r="Y34">
        <f t="shared" si="3"/>
        <v>0</v>
      </c>
    </row>
    <row r="35" spans="1:25" x14ac:dyDescent="0.2">
      <c r="A35" t="s">
        <v>127</v>
      </c>
      <c r="B35">
        <v>0</v>
      </c>
      <c r="C35">
        <v>0</v>
      </c>
      <c r="D35">
        <v>0</v>
      </c>
      <c r="E35">
        <v>0</v>
      </c>
      <c r="G35">
        <v>0</v>
      </c>
      <c r="H35">
        <v>0</v>
      </c>
      <c r="I35">
        <v>0</v>
      </c>
      <c r="J35">
        <v>0</v>
      </c>
      <c r="L35">
        <v>0</v>
      </c>
      <c r="M35">
        <v>0</v>
      </c>
      <c r="N35">
        <v>0</v>
      </c>
      <c r="O35">
        <v>0</v>
      </c>
      <c r="Q35">
        <f t="shared" si="2"/>
        <v>0</v>
      </c>
      <c r="R35">
        <f t="shared" si="2"/>
        <v>0</v>
      </c>
      <c r="S35">
        <f t="shared" si="2"/>
        <v>0</v>
      </c>
      <c r="T35">
        <f t="shared" si="2"/>
        <v>0</v>
      </c>
      <c r="V35">
        <f t="shared" si="3"/>
        <v>0</v>
      </c>
      <c r="W35">
        <f t="shared" si="3"/>
        <v>0</v>
      </c>
      <c r="X35">
        <f t="shared" si="3"/>
        <v>0</v>
      </c>
      <c r="Y35">
        <f t="shared" si="3"/>
        <v>0</v>
      </c>
    </row>
    <row r="36" spans="1:25" x14ac:dyDescent="0.2">
      <c r="A36" t="s">
        <v>128</v>
      </c>
      <c r="B36" s="1">
        <v>2.2799999999999999E-8</v>
      </c>
      <c r="C36" s="1">
        <v>-4.7899999999999999E-8</v>
      </c>
      <c r="D36" s="1">
        <v>5.4200000000000002E-8</v>
      </c>
      <c r="E36" s="1">
        <v>5.4200000000000002E-8</v>
      </c>
      <c r="G36" s="1">
        <v>5.1400000000000003E-5</v>
      </c>
      <c r="H36" s="1">
        <v>-5.7200000000000001E-5</v>
      </c>
      <c r="I36">
        <v>2.6293190000000002E-3</v>
      </c>
      <c r="J36">
        <v>2.6293190000000002E-3</v>
      </c>
      <c r="L36">
        <v>0</v>
      </c>
      <c r="M36">
        <v>0</v>
      </c>
      <c r="N36">
        <v>0</v>
      </c>
      <c r="O36">
        <v>0</v>
      </c>
      <c r="Q36">
        <f t="shared" si="2"/>
        <v>-5.13772E-5</v>
      </c>
      <c r="R36">
        <f t="shared" si="2"/>
        <v>5.7152100000000005E-5</v>
      </c>
      <c r="S36">
        <f t="shared" si="2"/>
        <v>-2.6292648000000004E-3</v>
      </c>
      <c r="T36">
        <f t="shared" si="2"/>
        <v>-2.6292648000000004E-3</v>
      </c>
      <c r="V36">
        <f t="shared" si="3"/>
        <v>2.2799999999999999E-8</v>
      </c>
      <c r="W36">
        <f t="shared" si="3"/>
        <v>-4.7899999999999999E-8</v>
      </c>
      <c r="X36">
        <f t="shared" si="3"/>
        <v>5.4200000000000002E-8</v>
      </c>
      <c r="Y36">
        <f t="shared" si="3"/>
        <v>5.4200000000000002E-8</v>
      </c>
    </row>
    <row r="37" spans="1:25" x14ac:dyDescent="0.2">
      <c r="A37" t="s">
        <v>129</v>
      </c>
      <c r="B37" s="1">
        <v>2.55E-8</v>
      </c>
      <c r="C37" s="1">
        <v>-5.0500000000000002E-8</v>
      </c>
      <c r="D37" s="1">
        <v>5.2899999999999997E-8</v>
      </c>
      <c r="E37" s="1">
        <v>5.2899999999999997E-8</v>
      </c>
      <c r="G37" s="1">
        <v>4.6900000000000002E-5</v>
      </c>
      <c r="H37">
        <v>-8.8611899999999999E-4</v>
      </c>
      <c r="I37">
        <v>1.23511E-4</v>
      </c>
      <c r="J37">
        <v>8.8611899999999999E-4</v>
      </c>
      <c r="L37">
        <v>0</v>
      </c>
      <c r="M37">
        <v>0</v>
      </c>
      <c r="N37">
        <v>0</v>
      </c>
      <c r="O37">
        <v>0</v>
      </c>
      <c r="Q37">
        <f t="shared" si="2"/>
        <v>-4.68745E-5</v>
      </c>
      <c r="R37">
        <f t="shared" si="2"/>
        <v>8.8606850000000001E-4</v>
      </c>
      <c r="S37">
        <f t="shared" si="2"/>
        <v>-1.2345810000000002E-4</v>
      </c>
      <c r="T37">
        <f t="shared" si="2"/>
        <v>-8.8606609999999995E-4</v>
      </c>
      <c r="V37">
        <f t="shared" si="3"/>
        <v>2.55E-8</v>
      </c>
      <c r="W37">
        <f t="shared" si="3"/>
        <v>-5.0500000000000002E-8</v>
      </c>
      <c r="X37">
        <f t="shared" si="3"/>
        <v>5.2899999999999997E-8</v>
      </c>
      <c r="Y37">
        <f t="shared" si="3"/>
        <v>5.2899999999999997E-8</v>
      </c>
    </row>
    <row r="38" spans="1:25" x14ac:dyDescent="0.2">
      <c r="A38" t="s">
        <v>130</v>
      </c>
      <c r="B38" s="1">
        <v>2.0899999999999999E-8</v>
      </c>
      <c r="C38">
        <v>-4.8E-8</v>
      </c>
      <c r="D38" s="1">
        <v>5.1800000000000001E-8</v>
      </c>
      <c r="E38" s="1">
        <v>5.1800000000000001E-8</v>
      </c>
      <c r="G38">
        <v>3.2601000000000002E-5</v>
      </c>
      <c r="H38">
        <v>-1.4257930000000001E-3</v>
      </c>
      <c r="I38">
        <v>1.22014E-4</v>
      </c>
      <c r="J38">
        <v>1.4257930000000001E-3</v>
      </c>
      <c r="L38">
        <v>0</v>
      </c>
      <c r="M38">
        <v>0</v>
      </c>
      <c r="N38">
        <v>0</v>
      </c>
      <c r="O38">
        <v>0</v>
      </c>
      <c r="Q38">
        <f t="shared" si="2"/>
        <v>-3.2580100000000003E-5</v>
      </c>
      <c r="R38">
        <f t="shared" si="2"/>
        <v>1.425745E-3</v>
      </c>
      <c r="S38">
        <f t="shared" si="2"/>
        <v>-1.219622E-4</v>
      </c>
      <c r="T38">
        <f t="shared" si="2"/>
        <v>-1.4257412E-3</v>
      </c>
      <c r="V38">
        <f t="shared" si="3"/>
        <v>2.0899999999999999E-8</v>
      </c>
      <c r="W38">
        <f t="shared" si="3"/>
        <v>-4.8E-8</v>
      </c>
      <c r="X38">
        <f t="shared" si="3"/>
        <v>5.1800000000000001E-8</v>
      </c>
      <c r="Y38">
        <f t="shared" si="3"/>
        <v>5.1800000000000001E-8</v>
      </c>
    </row>
    <row r="39" spans="1:25" x14ac:dyDescent="0.2">
      <c r="A39" t="s">
        <v>131</v>
      </c>
      <c r="B39" s="1">
        <v>2.22E-8</v>
      </c>
      <c r="C39" s="1">
        <v>-4.8300000000000002E-8</v>
      </c>
      <c r="D39" s="1">
        <v>4.8400000000000003E-8</v>
      </c>
      <c r="E39" s="1">
        <v>4.8400000000000003E-8</v>
      </c>
      <c r="G39" s="1">
        <v>9.9399999999999997E-6</v>
      </c>
      <c r="H39" s="1">
        <v>-5.3000000000000001E-5</v>
      </c>
      <c r="I39">
        <v>3.0774699999999998E-4</v>
      </c>
      <c r="J39">
        <v>3.0774699999999998E-4</v>
      </c>
      <c r="L39">
        <v>0</v>
      </c>
      <c r="M39">
        <v>0</v>
      </c>
      <c r="N39">
        <v>0</v>
      </c>
      <c r="O39">
        <v>0</v>
      </c>
      <c r="Q39">
        <f t="shared" si="2"/>
        <v>-9.9178000000000001E-6</v>
      </c>
      <c r="R39">
        <f t="shared" si="2"/>
        <v>5.2951700000000003E-5</v>
      </c>
      <c r="S39">
        <f t="shared" si="2"/>
        <v>-3.0769859999999995E-4</v>
      </c>
      <c r="T39">
        <f t="shared" si="2"/>
        <v>-3.0769859999999995E-4</v>
      </c>
      <c r="V39">
        <f t="shared" si="3"/>
        <v>2.22E-8</v>
      </c>
      <c r="W39">
        <f t="shared" si="3"/>
        <v>-4.8300000000000002E-8</v>
      </c>
      <c r="X39">
        <f t="shared" si="3"/>
        <v>4.8400000000000003E-8</v>
      </c>
      <c r="Y39">
        <f t="shared" si="3"/>
        <v>4.8400000000000003E-8</v>
      </c>
    </row>
    <row r="40" spans="1:25" x14ac:dyDescent="0.2">
      <c r="A40" t="s">
        <v>132</v>
      </c>
      <c r="B40" s="1">
        <v>2.3199999999999999E-8</v>
      </c>
      <c r="C40" s="1">
        <v>-5.1800000000000001E-8</v>
      </c>
      <c r="D40" s="1">
        <v>4.7400000000000001E-8</v>
      </c>
      <c r="E40" s="1">
        <v>5.1800000000000001E-8</v>
      </c>
      <c r="G40">
        <v>5.2355999999999998E-5</v>
      </c>
      <c r="H40">
        <v>-4.1575599999999998E-4</v>
      </c>
      <c r="I40">
        <v>2.303074E-3</v>
      </c>
      <c r="J40">
        <v>2.303074E-3</v>
      </c>
      <c r="L40">
        <v>0</v>
      </c>
      <c r="M40">
        <v>0</v>
      </c>
      <c r="N40">
        <v>0</v>
      </c>
      <c r="O40">
        <v>0</v>
      </c>
      <c r="Q40">
        <f t="shared" si="2"/>
        <v>-5.2332800000000001E-5</v>
      </c>
      <c r="R40">
        <f t="shared" si="2"/>
        <v>4.1570419999999999E-4</v>
      </c>
      <c r="S40">
        <f t="shared" si="2"/>
        <v>-2.3030265999999999E-3</v>
      </c>
      <c r="T40">
        <f t="shared" si="2"/>
        <v>-2.3030222000000001E-3</v>
      </c>
      <c r="V40">
        <f t="shared" si="3"/>
        <v>2.3199999999999999E-8</v>
      </c>
      <c r="W40">
        <f t="shared" si="3"/>
        <v>-5.1800000000000001E-8</v>
      </c>
      <c r="X40">
        <f t="shared" si="3"/>
        <v>4.7400000000000001E-8</v>
      </c>
      <c r="Y40">
        <f t="shared" si="3"/>
        <v>5.1800000000000001E-8</v>
      </c>
    </row>
    <row r="42" spans="1:25" x14ac:dyDescent="0.2">
      <c r="A42" t="s">
        <v>46</v>
      </c>
      <c r="B42" s="1">
        <v>2.4900000000000001E-8</v>
      </c>
      <c r="C42" s="1">
        <v>-5.1599999999999999E-8</v>
      </c>
      <c r="D42" s="1">
        <v>4.7099999999999998E-8</v>
      </c>
      <c r="E42" s="1">
        <v>5.1599999999999999E-8</v>
      </c>
      <c r="G42" s="1">
        <v>3.3200000000000001E-7</v>
      </c>
      <c r="H42" s="1">
        <v>-2.26E-6</v>
      </c>
      <c r="I42" s="1">
        <v>2.1299999999999999E-6</v>
      </c>
      <c r="J42" s="1">
        <v>2.26E-6</v>
      </c>
      <c r="L42" s="1">
        <v>2.11E-8</v>
      </c>
      <c r="M42" s="1">
        <v>-4.7899999999999999E-8</v>
      </c>
      <c r="N42" s="1">
        <v>5.7299999999999997E-8</v>
      </c>
      <c r="O42" s="1">
        <v>5.7299999999999997E-8</v>
      </c>
      <c r="Q42">
        <f t="shared" si="0"/>
        <v>-3.0709999999999999E-7</v>
      </c>
      <c r="R42">
        <f t="shared" si="0"/>
        <v>2.2083999999999999E-6</v>
      </c>
      <c r="S42">
        <f t="shared" si="0"/>
        <v>-2.0829E-6</v>
      </c>
      <c r="T42">
        <f t="shared" si="0"/>
        <v>-2.2083999999999999E-6</v>
      </c>
      <c r="V42">
        <f t="shared" si="1"/>
        <v>3.8000000000000009E-9</v>
      </c>
      <c r="W42">
        <f t="shared" si="1"/>
        <v>-3.7E-9</v>
      </c>
      <c r="X42">
        <f t="shared" si="1"/>
        <v>-1.0199999999999999E-8</v>
      </c>
      <c r="Y42">
        <f t="shared" si="1"/>
        <v>-5.6999999999999981E-9</v>
      </c>
    </row>
    <row r="43" spans="1:25" x14ac:dyDescent="0.2">
      <c r="A43" t="s">
        <v>47</v>
      </c>
      <c r="B43" s="1">
        <v>2.1500000000000001E-8</v>
      </c>
      <c r="C43" s="1">
        <v>-4.0399999999999998E-8</v>
      </c>
      <c r="D43" s="1">
        <v>5.4399999999999997E-8</v>
      </c>
      <c r="E43" s="1">
        <v>5.4399999999999997E-8</v>
      </c>
      <c r="G43" s="1">
        <v>9.4599999999999996E-5</v>
      </c>
      <c r="H43">
        <v>-6.32677E-4</v>
      </c>
      <c r="I43">
        <v>8.3745800000000002E-4</v>
      </c>
      <c r="J43">
        <v>8.3745800000000002E-4</v>
      </c>
      <c r="L43" s="1">
        <v>2.07E-8</v>
      </c>
      <c r="M43" s="1">
        <v>-4.9700000000000002E-8</v>
      </c>
      <c r="N43" s="1">
        <v>5.7200000000000003E-8</v>
      </c>
      <c r="O43" s="1">
        <v>5.7200000000000003E-8</v>
      </c>
      <c r="Q43">
        <f t="shared" si="0"/>
        <v>-9.4578499999999996E-5</v>
      </c>
      <c r="R43">
        <f t="shared" si="0"/>
        <v>6.3263659999999999E-4</v>
      </c>
      <c r="S43">
        <f t="shared" si="0"/>
        <v>-8.3740360000000001E-4</v>
      </c>
      <c r="T43">
        <f t="shared" si="0"/>
        <v>-8.3740360000000001E-4</v>
      </c>
      <c r="V43">
        <f t="shared" si="1"/>
        <v>8.0000000000000055E-10</v>
      </c>
      <c r="W43">
        <f t="shared" si="1"/>
        <v>9.3000000000000039E-9</v>
      </c>
      <c r="X43">
        <f t="shared" si="1"/>
        <v>-2.8000000000000052E-9</v>
      </c>
      <c r="Y43">
        <f t="shared" si="1"/>
        <v>-2.8000000000000052E-9</v>
      </c>
    </row>
    <row r="44" spans="1:25" x14ac:dyDescent="0.2">
      <c r="A44" t="s">
        <v>48</v>
      </c>
      <c r="B44" s="1">
        <v>1.99E-8</v>
      </c>
      <c r="C44" s="1">
        <v>-4.9199999999999997E-8</v>
      </c>
      <c r="D44" s="1">
        <v>4.8100000000000001E-8</v>
      </c>
      <c r="E44" s="1">
        <v>4.9199999999999997E-8</v>
      </c>
      <c r="G44">
        <v>1.11876E-4</v>
      </c>
      <c r="H44">
        <v>-5.1016099999999997E-4</v>
      </c>
      <c r="I44">
        <v>1.7511079999999999E-3</v>
      </c>
      <c r="J44">
        <v>1.7511079999999999E-3</v>
      </c>
      <c r="L44">
        <v>2.0999999999999999E-8</v>
      </c>
      <c r="M44" s="1">
        <v>-4.7199999999999999E-8</v>
      </c>
      <c r="N44" s="1">
        <v>5.5600000000000002E-8</v>
      </c>
      <c r="O44" s="1">
        <v>5.5600000000000002E-8</v>
      </c>
      <c r="Q44">
        <f t="shared" si="0"/>
        <v>-1.118561E-4</v>
      </c>
      <c r="R44">
        <f t="shared" si="0"/>
        <v>5.101118E-4</v>
      </c>
      <c r="S44">
        <f t="shared" si="0"/>
        <v>-1.7510599E-3</v>
      </c>
      <c r="T44">
        <f t="shared" si="0"/>
        <v>-1.7510587999999998E-3</v>
      </c>
      <c r="V44">
        <f t="shared" si="1"/>
        <v>-1.0999999999999999E-9</v>
      </c>
      <c r="W44">
        <f t="shared" si="1"/>
        <v>-1.9999999999999981E-9</v>
      </c>
      <c r="X44">
        <f t="shared" si="1"/>
        <v>-7.500000000000001E-9</v>
      </c>
      <c r="Y44">
        <f t="shared" si="1"/>
        <v>-6.4000000000000044E-9</v>
      </c>
    </row>
    <row r="45" spans="1:25" x14ac:dyDescent="0.2">
      <c r="A45" t="s">
        <v>49</v>
      </c>
      <c r="B45">
        <v>2.4E-8</v>
      </c>
      <c r="C45">
        <v>-4.3000000000000001E-8</v>
      </c>
      <c r="D45" s="1">
        <v>4.9199999999999997E-8</v>
      </c>
      <c r="E45" s="1">
        <v>4.9199999999999997E-8</v>
      </c>
      <c r="G45">
        <v>1.55983E-4</v>
      </c>
      <c r="H45">
        <v>-4.5881849999999998E-3</v>
      </c>
      <c r="I45">
        <v>6.48528E-4</v>
      </c>
      <c r="J45">
        <v>4.5881849999999998E-3</v>
      </c>
      <c r="L45" s="1">
        <v>2.1699999999999999E-8</v>
      </c>
      <c r="M45" s="1">
        <v>-5.2800000000000003E-8</v>
      </c>
      <c r="N45" s="1">
        <v>5.1900000000000002E-8</v>
      </c>
      <c r="O45" s="1">
        <v>5.2800000000000003E-8</v>
      </c>
      <c r="Q45">
        <f t="shared" si="0"/>
        <v>-1.55959E-4</v>
      </c>
      <c r="R45">
        <f t="shared" si="0"/>
        <v>4.5881419999999999E-3</v>
      </c>
      <c r="S45">
        <f t="shared" si="0"/>
        <v>-6.4847880000000002E-4</v>
      </c>
      <c r="T45">
        <f t="shared" si="0"/>
        <v>-4.5881357999999995E-3</v>
      </c>
      <c r="V45">
        <f t="shared" si="1"/>
        <v>2.3000000000000007E-9</v>
      </c>
      <c r="W45">
        <f t="shared" si="1"/>
        <v>9.8000000000000017E-9</v>
      </c>
      <c r="X45">
        <f t="shared" si="1"/>
        <v>-2.7000000000000043E-9</v>
      </c>
      <c r="Y45">
        <f t="shared" si="1"/>
        <v>-3.6000000000000058E-9</v>
      </c>
    </row>
    <row r="46" spans="1:25" x14ac:dyDescent="0.2">
      <c r="A46" t="s">
        <v>50</v>
      </c>
      <c r="B46" s="1">
        <v>1.9799999999999999E-8</v>
      </c>
      <c r="C46">
        <v>-5.2999999999999998E-8</v>
      </c>
      <c r="D46" s="1">
        <v>5.3099999999999999E-8</v>
      </c>
      <c r="E46" s="1">
        <v>5.3099999999999999E-8</v>
      </c>
      <c r="G46">
        <v>1.12043E-4</v>
      </c>
      <c r="H46">
        <v>-1.9086540000000001E-3</v>
      </c>
      <c r="I46">
        <v>3.9398800000000001E-4</v>
      </c>
      <c r="J46">
        <v>1.9086540000000001E-3</v>
      </c>
      <c r="L46" s="1">
        <v>2.1699999999999999E-8</v>
      </c>
      <c r="M46" s="1">
        <v>-4.8499999999999998E-8</v>
      </c>
      <c r="N46" s="1">
        <v>4.9700000000000002E-8</v>
      </c>
      <c r="O46" s="1">
        <v>4.9700000000000002E-8</v>
      </c>
      <c r="Q46">
        <f t="shared" si="0"/>
        <v>-1.1202319999999999E-4</v>
      </c>
      <c r="R46">
        <f t="shared" si="0"/>
        <v>1.908601E-3</v>
      </c>
      <c r="S46">
        <f t="shared" si="0"/>
        <v>-3.9393490000000001E-4</v>
      </c>
      <c r="T46">
        <f t="shared" si="0"/>
        <v>-1.9086009000000002E-3</v>
      </c>
      <c r="V46">
        <f t="shared" si="1"/>
        <v>-1.9000000000000005E-9</v>
      </c>
      <c r="W46">
        <f t="shared" si="1"/>
        <v>-4.5000000000000006E-9</v>
      </c>
      <c r="X46">
        <f t="shared" si="1"/>
        <v>3.3999999999999974E-9</v>
      </c>
      <c r="Y46">
        <f t="shared" si="1"/>
        <v>3.3999999999999974E-9</v>
      </c>
    </row>
    <row r="47" spans="1:25" x14ac:dyDescent="0.2">
      <c r="A47" t="s">
        <v>51</v>
      </c>
      <c r="B47" s="1">
        <v>2.11E-8</v>
      </c>
      <c r="C47" s="1">
        <v>-4.8699999999999999E-8</v>
      </c>
      <c r="D47" s="1">
        <v>5.5600000000000002E-8</v>
      </c>
      <c r="E47" s="1">
        <v>5.5600000000000002E-8</v>
      </c>
      <c r="G47" s="1">
        <v>4.0800000000000001E-8</v>
      </c>
      <c r="H47" s="1">
        <v>-1.4000000000000001E-7</v>
      </c>
      <c r="I47" s="1">
        <v>1.7100000000000001E-7</v>
      </c>
      <c r="J47" s="1">
        <v>1.7100000000000001E-7</v>
      </c>
      <c r="L47" s="1">
        <v>1.9399999999999998E-8</v>
      </c>
      <c r="M47" s="1">
        <v>-4.6199999999999997E-8</v>
      </c>
      <c r="N47" s="1">
        <v>4.0499999999999999E-8</v>
      </c>
      <c r="O47" s="1">
        <v>4.6199999999999997E-8</v>
      </c>
      <c r="Q47">
        <f t="shared" si="0"/>
        <v>-1.9700000000000001E-8</v>
      </c>
      <c r="R47">
        <f t="shared" si="0"/>
        <v>9.1300000000000004E-8</v>
      </c>
      <c r="S47">
        <f t="shared" si="0"/>
        <v>-1.1540000000000001E-7</v>
      </c>
      <c r="T47">
        <f t="shared" si="0"/>
        <v>-1.1540000000000001E-7</v>
      </c>
      <c r="V47">
        <f t="shared" si="1"/>
        <v>1.700000000000002E-9</v>
      </c>
      <c r="W47">
        <f t="shared" si="1"/>
        <v>-2.5000000000000025E-9</v>
      </c>
      <c r="X47">
        <f t="shared" si="1"/>
        <v>1.5100000000000003E-8</v>
      </c>
      <c r="Y47">
        <f t="shared" si="1"/>
        <v>9.4000000000000048E-9</v>
      </c>
    </row>
    <row r="48" spans="1:25" x14ac:dyDescent="0.2">
      <c r="A48" t="s">
        <v>52</v>
      </c>
      <c r="B48" s="1">
        <v>2.0899999999999999E-8</v>
      </c>
      <c r="C48" s="1">
        <v>-5.4900000000000002E-8</v>
      </c>
      <c r="D48" s="1">
        <v>4.7099999999999998E-8</v>
      </c>
      <c r="E48" s="1">
        <v>5.4900000000000002E-8</v>
      </c>
      <c r="G48">
        <v>1.74792E-4</v>
      </c>
      <c r="H48">
        <v>-3.7680830000000002E-3</v>
      </c>
      <c r="I48">
        <v>1.5670129999999999E-3</v>
      </c>
      <c r="J48">
        <v>3.7680830000000002E-3</v>
      </c>
      <c r="L48" s="1">
        <v>2.4200000000000002E-8</v>
      </c>
      <c r="M48" s="1">
        <v>-5.3500000000000003E-8</v>
      </c>
      <c r="N48" s="1">
        <v>5.2600000000000001E-8</v>
      </c>
      <c r="O48" s="1">
        <v>5.3500000000000003E-8</v>
      </c>
      <c r="Q48">
        <f t="shared" si="0"/>
        <v>-1.747711E-4</v>
      </c>
      <c r="R48">
        <f t="shared" si="0"/>
        <v>3.7680281000000001E-3</v>
      </c>
      <c r="S48">
        <f t="shared" si="0"/>
        <v>-1.5669658999999999E-3</v>
      </c>
      <c r="T48">
        <f t="shared" si="0"/>
        <v>-3.7680281000000001E-3</v>
      </c>
      <c r="V48">
        <f t="shared" si="1"/>
        <v>-3.3000000000000031E-9</v>
      </c>
      <c r="W48">
        <f t="shared" si="1"/>
        <v>-1.3999999999999993E-9</v>
      </c>
      <c r="X48">
        <f t="shared" si="1"/>
        <v>-5.5000000000000029E-9</v>
      </c>
      <c r="Y48">
        <f t="shared" si="1"/>
        <v>1.3999999999999993E-9</v>
      </c>
    </row>
    <row r="49" spans="1:25" x14ac:dyDescent="0.2">
      <c r="A49" t="s">
        <v>53</v>
      </c>
      <c r="B49" s="1">
        <v>2.3400000000000001E-8</v>
      </c>
      <c r="C49" s="1">
        <v>-5.2299999999999998E-8</v>
      </c>
      <c r="D49" s="1">
        <v>5.2600000000000001E-8</v>
      </c>
      <c r="E49" s="1">
        <v>5.2600000000000001E-8</v>
      </c>
      <c r="G49" s="1">
        <v>5.3100000000000003E-5</v>
      </c>
      <c r="H49">
        <v>-6.4949599999999995E-4</v>
      </c>
      <c r="I49">
        <v>3.4013899999999999E-4</v>
      </c>
      <c r="J49">
        <v>6.4949599999999995E-4</v>
      </c>
      <c r="L49" s="1">
        <v>1.7199999999999999E-8</v>
      </c>
      <c r="M49" s="1">
        <v>-4.8200000000000001E-8</v>
      </c>
      <c r="N49" s="1">
        <v>4.3700000000000001E-8</v>
      </c>
      <c r="O49" s="1">
        <v>4.8200000000000001E-8</v>
      </c>
      <c r="Q49">
        <f t="shared" si="0"/>
        <v>-5.3076600000000006E-5</v>
      </c>
      <c r="R49">
        <f t="shared" si="0"/>
        <v>6.494436999999999E-4</v>
      </c>
      <c r="S49">
        <f t="shared" si="0"/>
        <v>-3.400864E-4</v>
      </c>
      <c r="T49">
        <f t="shared" si="0"/>
        <v>-6.494433999999999E-4</v>
      </c>
      <c r="V49">
        <f t="shared" si="1"/>
        <v>6.2000000000000026E-9</v>
      </c>
      <c r="W49">
        <f t="shared" si="1"/>
        <v>-4.099999999999997E-9</v>
      </c>
      <c r="X49">
        <f t="shared" si="1"/>
        <v>8.9000000000000003E-9</v>
      </c>
      <c r="Y49">
        <f t="shared" si="1"/>
        <v>4.3999999999999997E-9</v>
      </c>
    </row>
    <row r="50" spans="1:25" x14ac:dyDescent="0.2">
      <c r="A50" t="s">
        <v>54</v>
      </c>
      <c r="B50" s="1">
        <v>2.0800000000000001E-8</v>
      </c>
      <c r="C50" s="1">
        <v>-4.7699999999999997E-8</v>
      </c>
      <c r="D50" s="1">
        <v>4.4600000000000002E-8</v>
      </c>
      <c r="E50" s="1">
        <v>4.7699999999999997E-8</v>
      </c>
      <c r="G50" s="1">
        <v>1.68E-6</v>
      </c>
      <c r="H50" s="1">
        <v>-1.36E-5</v>
      </c>
      <c r="I50" s="1">
        <v>5.9599999999999999E-5</v>
      </c>
      <c r="J50" s="1">
        <v>5.9599999999999999E-5</v>
      </c>
      <c r="L50" s="1">
        <v>2.07E-8</v>
      </c>
      <c r="M50" s="1">
        <v>-5.4599999999999999E-8</v>
      </c>
      <c r="N50">
        <v>4.8E-8</v>
      </c>
      <c r="O50" s="1">
        <v>5.4599999999999999E-8</v>
      </c>
      <c r="Q50">
        <f t="shared" si="0"/>
        <v>-1.6591999999999999E-6</v>
      </c>
      <c r="R50">
        <f t="shared" si="0"/>
        <v>1.3552300000000001E-5</v>
      </c>
      <c r="S50">
        <f t="shared" si="0"/>
        <v>-5.9555399999999996E-5</v>
      </c>
      <c r="T50">
        <f t="shared" si="0"/>
        <v>-5.9552299999999996E-5</v>
      </c>
      <c r="V50">
        <f t="shared" si="1"/>
        <v>1.000000000000009E-10</v>
      </c>
      <c r="W50">
        <f t="shared" si="1"/>
        <v>6.9000000000000022E-9</v>
      </c>
      <c r="X50">
        <f t="shared" si="1"/>
        <v>-3.3999999999999974E-9</v>
      </c>
      <c r="Y50">
        <f t="shared" si="1"/>
        <v>-6.9000000000000022E-9</v>
      </c>
    </row>
    <row r="51" spans="1:25" x14ac:dyDescent="0.2">
      <c r="A51" t="s">
        <v>55</v>
      </c>
      <c r="B51" s="1">
        <v>1.9499999999999999E-8</v>
      </c>
      <c r="C51" s="1">
        <v>-4.8400000000000003E-8</v>
      </c>
      <c r="D51" s="1">
        <v>4.5200000000000001E-8</v>
      </c>
      <c r="E51" s="1">
        <v>4.8400000000000003E-8</v>
      </c>
      <c r="G51" s="1">
        <v>4.5399999999999999E-5</v>
      </c>
      <c r="H51">
        <v>-4.6988500000000002E-4</v>
      </c>
      <c r="I51">
        <v>6.2500499999999998E-4</v>
      </c>
      <c r="J51">
        <v>6.2500499999999998E-4</v>
      </c>
      <c r="L51" s="1">
        <v>2.1900000000000001E-8</v>
      </c>
      <c r="M51">
        <v>-4.9000000000000002E-8</v>
      </c>
      <c r="N51" s="1">
        <v>5.54E-8</v>
      </c>
      <c r="O51" s="1">
        <v>5.54E-8</v>
      </c>
      <c r="Q51">
        <f t="shared" si="0"/>
        <v>-4.5380499999999997E-5</v>
      </c>
      <c r="R51">
        <f t="shared" si="0"/>
        <v>4.6983659999999999E-4</v>
      </c>
      <c r="S51">
        <f t="shared" si="0"/>
        <v>-6.2495979999999997E-4</v>
      </c>
      <c r="T51">
        <f t="shared" si="0"/>
        <v>-6.2495659999999996E-4</v>
      </c>
      <c r="V51">
        <f t="shared" si="1"/>
        <v>-2.4000000000000016E-9</v>
      </c>
      <c r="W51">
        <f t="shared" si="1"/>
        <v>5.9999999999999876E-10</v>
      </c>
      <c r="X51">
        <f t="shared" si="1"/>
        <v>-1.0199999999999999E-8</v>
      </c>
      <c r="Y51">
        <f t="shared" si="1"/>
        <v>-6.9999999999999965E-9</v>
      </c>
    </row>
    <row r="52" spans="1:25" x14ac:dyDescent="0.2">
      <c r="A52" t="s">
        <v>56</v>
      </c>
      <c r="B52" s="1">
        <v>1.96E-8</v>
      </c>
      <c r="C52">
        <v>-4.9999999999999998E-8</v>
      </c>
      <c r="D52" s="1">
        <v>5.0400000000000001E-8</v>
      </c>
      <c r="E52" s="1">
        <v>5.0400000000000001E-8</v>
      </c>
      <c r="G52" s="1">
        <v>4.8099999999999997E-5</v>
      </c>
      <c r="H52">
        <v>-1.0007919999999999E-3</v>
      </c>
      <c r="I52">
        <v>3.6063099999999998E-4</v>
      </c>
      <c r="J52">
        <v>1.0007919999999999E-3</v>
      </c>
      <c r="L52" s="1">
        <v>2.1699999999999999E-8</v>
      </c>
      <c r="M52" s="1">
        <v>-4.7799999999999998E-8</v>
      </c>
      <c r="N52">
        <v>4.9000000000000002E-8</v>
      </c>
      <c r="O52">
        <v>4.9000000000000002E-8</v>
      </c>
      <c r="Q52">
        <f t="shared" si="0"/>
        <v>-4.8080399999999995E-5</v>
      </c>
      <c r="R52">
        <f t="shared" si="0"/>
        <v>1.000742E-3</v>
      </c>
      <c r="S52">
        <f t="shared" si="0"/>
        <v>-3.6058059999999998E-4</v>
      </c>
      <c r="T52">
        <f t="shared" si="0"/>
        <v>-1.0007415999999999E-3</v>
      </c>
      <c r="V52">
        <f t="shared" si="1"/>
        <v>-2.099999999999999E-9</v>
      </c>
      <c r="W52">
        <f t="shared" si="1"/>
        <v>-2.1999999999999998E-9</v>
      </c>
      <c r="X52">
        <f t="shared" si="1"/>
        <v>1.3999999999999993E-9</v>
      </c>
      <c r="Y52">
        <f t="shared" si="1"/>
        <v>1.3999999999999993E-9</v>
      </c>
    </row>
    <row r="53" spans="1:25" x14ac:dyDescent="0.2">
      <c r="A53" t="s">
        <v>57</v>
      </c>
      <c r="B53">
        <v>2.0999999999999999E-8</v>
      </c>
      <c r="C53" s="1">
        <v>-5.5899999999999998E-8</v>
      </c>
      <c r="D53" s="1">
        <v>5.1800000000000001E-8</v>
      </c>
      <c r="E53" s="1">
        <v>5.5899999999999998E-8</v>
      </c>
      <c r="G53" s="1">
        <v>6.2000000000000003E-5</v>
      </c>
      <c r="H53">
        <v>-6.6302799999999997E-4</v>
      </c>
      <c r="I53">
        <v>1.0349490000000001E-3</v>
      </c>
      <c r="J53">
        <v>1.0349490000000001E-3</v>
      </c>
      <c r="L53" s="1">
        <v>2.0599999999999999E-8</v>
      </c>
      <c r="M53" s="1">
        <v>-5.47E-8</v>
      </c>
      <c r="N53" s="1">
        <v>4.7400000000000001E-8</v>
      </c>
      <c r="O53" s="1">
        <v>5.47E-8</v>
      </c>
      <c r="Q53">
        <f t="shared" si="0"/>
        <v>-6.1978999999999997E-5</v>
      </c>
      <c r="R53">
        <f t="shared" si="0"/>
        <v>6.6297209999999999E-4</v>
      </c>
      <c r="S53">
        <f t="shared" si="0"/>
        <v>-1.0348972E-3</v>
      </c>
      <c r="T53">
        <f t="shared" si="0"/>
        <v>-1.0348931000000001E-3</v>
      </c>
      <c r="V53">
        <f t="shared" si="1"/>
        <v>4.0000000000000027E-10</v>
      </c>
      <c r="W53">
        <f t="shared" si="1"/>
        <v>-1.1999999999999975E-9</v>
      </c>
      <c r="X53">
        <f t="shared" si="1"/>
        <v>4.3999999999999997E-9</v>
      </c>
      <c r="Y53">
        <f t="shared" si="1"/>
        <v>1.1999999999999975E-9</v>
      </c>
    </row>
    <row r="54" spans="1:25" x14ac:dyDescent="0.2">
      <c r="A54" t="s">
        <v>58</v>
      </c>
      <c r="B54" s="1">
        <v>2.07E-8</v>
      </c>
      <c r="C54" s="1">
        <v>-5.8299999999999999E-8</v>
      </c>
      <c r="D54" s="1">
        <v>4.7500000000000002E-8</v>
      </c>
      <c r="E54" s="1">
        <v>5.8299999999999999E-8</v>
      </c>
      <c r="G54" s="1">
        <v>3.8600000000000003E-5</v>
      </c>
      <c r="H54">
        <v>-4.1599300000000003E-4</v>
      </c>
      <c r="I54">
        <v>5.8484900000000002E-4</v>
      </c>
      <c r="J54">
        <v>5.8484900000000002E-4</v>
      </c>
      <c r="L54" s="1">
        <v>1.9700000000000001E-8</v>
      </c>
      <c r="M54" s="1">
        <v>-4.3100000000000002E-8</v>
      </c>
      <c r="N54" s="1">
        <v>5.5899999999999998E-8</v>
      </c>
      <c r="O54" s="1">
        <v>5.5899999999999998E-8</v>
      </c>
      <c r="Q54">
        <f t="shared" si="0"/>
        <v>-3.8579300000000005E-5</v>
      </c>
      <c r="R54">
        <f t="shared" si="0"/>
        <v>4.1593470000000004E-4</v>
      </c>
      <c r="S54">
        <f t="shared" si="0"/>
        <v>-5.8480149999999998E-4</v>
      </c>
      <c r="T54">
        <f t="shared" si="0"/>
        <v>-5.8479069999999998E-4</v>
      </c>
      <c r="V54">
        <f t="shared" si="1"/>
        <v>9.9999999999999903E-10</v>
      </c>
      <c r="W54">
        <f t="shared" si="1"/>
        <v>-1.5199999999999997E-8</v>
      </c>
      <c r="X54">
        <f t="shared" si="1"/>
        <v>-8.3999999999999958E-9</v>
      </c>
      <c r="Y54">
        <f t="shared" si="1"/>
        <v>2.4000000000000016E-9</v>
      </c>
    </row>
    <row r="55" spans="1:25" x14ac:dyDescent="0.2">
      <c r="A55" t="s">
        <v>59</v>
      </c>
      <c r="B55" s="1">
        <v>2.4599999999999999E-8</v>
      </c>
      <c r="C55">
        <v>-4.4999999999999999E-8</v>
      </c>
      <c r="D55" s="1">
        <v>5.8299999999999999E-8</v>
      </c>
      <c r="E55" s="1">
        <v>5.8299999999999999E-8</v>
      </c>
      <c r="G55" s="1">
        <v>2.19E-5</v>
      </c>
      <c r="H55">
        <v>-1.8777E-4</v>
      </c>
      <c r="I55">
        <v>1.52874E-4</v>
      </c>
      <c r="J55">
        <v>1.8777E-4</v>
      </c>
      <c r="L55" s="1">
        <v>2.2799999999999999E-8</v>
      </c>
      <c r="M55" s="1">
        <v>-4.51E-8</v>
      </c>
      <c r="N55" s="1">
        <v>4.7199999999999999E-8</v>
      </c>
      <c r="O55" s="1">
        <v>4.7199999999999999E-8</v>
      </c>
      <c r="Q55">
        <f t="shared" si="0"/>
        <v>-2.1875400000000001E-5</v>
      </c>
      <c r="R55">
        <f t="shared" si="0"/>
        <v>1.87725E-4</v>
      </c>
      <c r="S55">
        <f t="shared" si="0"/>
        <v>-1.5281569999999999E-4</v>
      </c>
      <c r="T55">
        <f t="shared" si="0"/>
        <v>-1.8771169999999999E-4</v>
      </c>
      <c r="V55">
        <f t="shared" si="1"/>
        <v>1.7999999999999996E-9</v>
      </c>
      <c r="W55">
        <f t="shared" si="1"/>
        <v>1.000000000000009E-10</v>
      </c>
      <c r="X55">
        <f t="shared" si="1"/>
        <v>1.11E-8</v>
      </c>
      <c r="Y55">
        <f t="shared" si="1"/>
        <v>1.11E-8</v>
      </c>
    </row>
    <row r="56" spans="1:25" x14ac:dyDescent="0.2">
      <c r="A56" t="s">
        <v>60</v>
      </c>
      <c r="B56" s="1">
        <v>2.22E-8</v>
      </c>
      <c r="C56" s="1">
        <v>-4.29E-8</v>
      </c>
      <c r="D56" s="1">
        <v>5.6300000000000001E-8</v>
      </c>
      <c r="E56" s="1">
        <v>5.6300000000000001E-8</v>
      </c>
      <c r="G56" s="1">
        <v>2.6699999999999998E-5</v>
      </c>
      <c r="H56">
        <v>-1.3246500000000001E-4</v>
      </c>
      <c r="I56">
        <v>6.4337200000000002E-4</v>
      </c>
      <c r="J56">
        <v>6.4337200000000002E-4</v>
      </c>
      <c r="L56" s="1">
        <v>2.33E-8</v>
      </c>
      <c r="M56" s="1">
        <v>-4.7699999999999997E-8</v>
      </c>
      <c r="N56">
        <v>4.9000000000000002E-8</v>
      </c>
      <c r="O56">
        <v>4.9000000000000002E-8</v>
      </c>
      <c r="Q56">
        <f t="shared" si="0"/>
        <v>-2.6677799999999997E-5</v>
      </c>
      <c r="R56">
        <f t="shared" si="0"/>
        <v>1.3242210000000002E-4</v>
      </c>
      <c r="S56">
        <f t="shared" si="0"/>
        <v>-6.4331570000000001E-4</v>
      </c>
      <c r="T56">
        <f t="shared" si="0"/>
        <v>-6.4331570000000001E-4</v>
      </c>
      <c r="V56">
        <f t="shared" si="1"/>
        <v>-1.0999999999999999E-9</v>
      </c>
      <c r="W56">
        <f t="shared" si="1"/>
        <v>4.7999999999999967E-9</v>
      </c>
      <c r="X56">
        <f t="shared" si="1"/>
        <v>7.2999999999999992E-9</v>
      </c>
      <c r="Y56">
        <f t="shared" si="1"/>
        <v>7.2999999999999992E-9</v>
      </c>
    </row>
    <row r="57" spans="1:25" x14ac:dyDescent="0.2">
      <c r="A57" t="s">
        <v>61</v>
      </c>
      <c r="B57" s="1">
        <v>2.4500000000000001E-8</v>
      </c>
      <c r="C57" s="1">
        <v>-5.54E-8</v>
      </c>
      <c r="D57" s="1">
        <v>5.03E-8</v>
      </c>
      <c r="E57" s="1">
        <v>5.54E-8</v>
      </c>
      <c r="G57" s="1">
        <v>2.3799999999999999E-5</v>
      </c>
      <c r="H57">
        <v>-2.0542499999999999E-4</v>
      </c>
      <c r="I57">
        <v>1.9495E-4</v>
      </c>
      <c r="J57">
        <v>2.0542499999999999E-4</v>
      </c>
      <c r="L57">
        <v>2.0999999999999999E-8</v>
      </c>
      <c r="M57" s="1">
        <v>-5.2299999999999998E-8</v>
      </c>
      <c r="N57" s="1">
        <v>4.5400000000000003E-8</v>
      </c>
      <c r="O57" s="1">
        <v>5.2299999999999998E-8</v>
      </c>
      <c r="Q57">
        <f t="shared" si="0"/>
        <v>-2.37755E-5</v>
      </c>
      <c r="R57">
        <f t="shared" si="0"/>
        <v>2.0536959999999999E-4</v>
      </c>
      <c r="S57">
        <f t="shared" si="0"/>
        <v>-1.948997E-4</v>
      </c>
      <c r="T57">
        <f t="shared" si="0"/>
        <v>-2.0536959999999999E-4</v>
      </c>
      <c r="V57">
        <f t="shared" si="1"/>
        <v>3.5000000000000016E-9</v>
      </c>
      <c r="W57">
        <f t="shared" si="1"/>
        <v>-3.1000000000000013E-9</v>
      </c>
      <c r="X57">
        <f t="shared" si="1"/>
        <v>4.8999999999999976E-9</v>
      </c>
      <c r="Y57">
        <f t="shared" si="1"/>
        <v>3.1000000000000013E-9</v>
      </c>
    </row>
    <row r="58" spans="1:25" x14ac:dyDescent="0.2">
      <c r="A58" t="s">
        <v>62</v>
      </c>
      <c r="B58" s="1">
        <v>2.1900000000000001E-8</v>
      </c>
      <c r="C58" s="1">
        <v>-5.5899999999999998E-8</v>
      </c>
      <c r="D58" s="1">
        <v>5.0099999999999999E-8</v>
      </c>
      <c r="E58" s="1">
        <v>5.5899999999999998E-8</v>
      </c>
      <c r="G58">
        <v>3.1896000000000001E-5</v>
      </c>
      <c r="H58">
        <v>-1.0132909999999999E-3</v>
      </c>
      <c r="I58">
        <v>2.23976E-4</v>
      </c>
      <c r="J58">
        <v>1.0132909999999999E-3</v>
      </c>
      <c r="L58" s="1">
        <v>2.1600000000000002E-8</v>
      </c>
      <c r="M58" s="1">
        <v>-4.2200000000000001E-8</v>
      </c>
      <c r="N58" s="1">
        <v>4.6900000000000003E-8</v>
      </c>
      <c r="O58" s="1">
        <v>4.6900000000000003E-8</v>
      </c>
      <c r="Q58">
        <f t="shared" si="0"/>
        <v>-3.18741E-5</v>
      </c>
      <c r="R58">
        <f t="shared" si="0"/>
        <v>1.0132351E-3</v>
      </c>
      <c r="S58">
        <f t="shared" si="0"/>
        <v>-2.2392589999999999E-4</v>
      </c>
      <c r="T58">
        <f t="shared" si="0"/>
        <v>-1.0132351E-3</v>
      </c>
      <c r="V58">
        <f t="shared" si="1"/>
        <v>2.9999999999999938E-10</v>
      </c>
      <c r="W58">
        <f t="shared" si="1"/>
        <v>-1.3699999999999997E-8</v>
      </c>
      <c r="X58">
        <f t="shared" si="1"/>
        <v>3.1999999999999956E-9</v>
      </c>
      <c r="Y58">
        <f t="shared" si="1"/>
        <v>8.9999999999999946E-9</v>
      </c>
    </row>
    <row r="59" spans="1:25" x14ac:dyDescent="0.2">
      <c r="A59" t="s">
        <v>63</v>
      </c>
      <c r="B59">
        <v>2.1999999999999998E-8</v>
      </c>
      <c r="C59" s="1">
        <v>-5.8600000000000002E-8</v>
      </c>
      <c r="D59" s="1">
        <v>5.6300000000000001E-8</v>
      </c>
      <c r="E59" s="1">
        <v>5.8600000000000002E-8</v>
      </c>
      <c r="G59" s="1">
        <v>4.2699999999999999E-8</v>
      </c>
      <c r="H59" s="1">
        <v>-6.68E-7</v>
      </c>
      <c r="I59" s="1">
        <v>2.91E-7</v>
      </c>
      <c r="J59" s="1">
        <v>6.68E-7</v>
      </c>
      <c r="L59" s="1">
        <v>2.33E-8</v>
      </c>
      <c r="M59" s="1">
        <v>-4.6199999999999997E-8</v>
      </c>
      <c r="N59" s="1">
        <v>5.5799999999999997E-8</v>
      </c>
      <c r="O59" s="1">
        <v>5.5799999999999997E-8</v>
      </c>
      <c r="Q59">
        <f t="shared" si="0"/>
        <v>-2.07E-8</v>
      </c>
      <c r="R59">
        <f t="shared" si="0"/>
        <v>6.0940000000000004E-7</v>
      </c>
      <c r="S59">
        <f t="shared" si="0"/>
        <v>-2.347E-7</v>
      </c>
      <c r="T59">
        <f t="shared" si="0"/>
        <v>-6.0940000000000004E-7</v>
      </c>
      <c r="V59">
        <f t="shared" si="1"/>
        <v>-1.3000000000000017E-9</v>
      </c>
      <c r="W59">
        <f t="shared" si="1"/>
        <v>-1.2400000000000005E-8</v>
      </c>
      <c r="X59">
        <f t="shared" si="1"/>
        <v>5.0000000000000448E-10</v>
      </c>
      <c r="Y59">
        <f t="shared" si="1"/>
        <v>2.8000000000000052E-9</v>
      </c>
    </row>
    <row r="60" spans="1:25" x14ac:dyDescent="0.2">
      <c r="A60" t="s">
        <v>64</v>
      </c>
      <c r="B60">
        <v>2.0999999999999999E-8</v>
      </c>
      <c r="C60" s="1">
        <v>-4.2599999999999998E-8</v>
      </c>
      <c r="D60" s="1">
        <v>5.3599999999999997E-8</v>
      </c>
      <c r="E60" s="1">
        <v>5.3599999999999997E-8</v>
      </c>
      <c r="G60" s="1">
        <v>1.8099999999999999E-5</v>
      </c>
      <c r="H60">
        <v>-2.5792499999999999E-4</v>
      </c>
      <c r="I60">
        <v>1.2237399999999999E-4</v>
      </c>
      <c r="J60">
        <v>2.5792499999999999E-4</v>
      </c>
      <c r="L60" s="1">
        <v>2.03E-8</v>
      </c>
      <c r="M60" s="1">
        <v>-4.6800000000000002E-8</v>
      </c>
      <c r="N60" s="1">
        <v>5.3400000000000002E-8</v>
      </c>
      <c r="O60" s="1">
        <v>5.3400000000000002E-8</v>
      </c>
      <c r="Q60">
        <f t="shared" si="0"/>
        <v>-1.8079000000000001E-5</v>
      </c>
      <c r="R60">
        <f t="shared" si="0"/>
        <v>2.578824E-4</v>
      </c>
      <c r="S60">
        <f t="shared" si="0"/>
        <v>-1.2232039999999998E-4</v>
      </c>
      <c r="T60">
        <f t="shared" si="0"/>
        <v>-2.5787139999999999E-4</v>
      </c>
      <c r="V60">
        <f t="shared" si="1"/>
        <v>6.9999999999999965E-10</v>
      </c>
      <c r="W60">
        <f t="shared" si="1"/>
        <v>4.2000000000000045E-9</v>
      </c>
      <c r="X60">
        <f t="shared" si="1"/>
        <v>1.9999999999999517E-10</v>
      </c>
      <c r="Y60">
        <f t="shared" si="1"/>
        <v>1.9999999999999517E-10</v>
      </c>
    </row>
    <row r="61" spans="1:25" x14ac:dyDescent="0.2">
      <c r="A61" t="s">
        <v>65</v>
      </c>
      <c r="B61" s="1">
        <v>2.1500000000000001E-8</v>
      </c>
      <c r="C61" s="1">
        <v>-4.14E-8</v>
      </c>
      <c r="D61" s="1">
        <v>4.7699999999999997E-8</v>
      </c>
      <c r="E61" s="1">
        <v>4.7699999999999997E-8</v>
      </c>
      <c r="G61" s="1">
        <v>1.42E-7</v>
      </c>
      <c r="H61" s="1">
        <v>-2.5900000000000002E-6</v>
      </c>
      <c r="I61" s="1">
        <v>1.3E-6</v>
      </c>
      <c r="J61" s="1">
        <v>2.5900000000000002E-6</v>
      </c>
      <c r="L61">
        <v>2.0999999999999999E-8</v>
      </c>
      <c r="M61" s="1">
        <v>-5.2899999999999997E-8</v>
      </c>
      <c r="N61" s="1">
        <v>4.5599999999999998E-8</v>
      </c>
      <c r="O61" s="1">
        <v>5.2899999999999997E-8</v>
      </c>
      <c r="Q61">
        <f t="shared" si="0"/>
        <v>-1.205E-7</v>
      </c>
      <c r="R61">
        <f t="shared" si="0"/>
        <v>2.5486E-6</v>
      </c>
      <c r="S61">
        <f t="shared" si="0"/>
        <v>-1.2523000000000001E-6</v>
      </c>
      <c r="T61">
        <f t="shared" si="0"/>
        <v>-2.5423000000000002E-6</v>
      </c>
      <c r="V61">
        <f t="shared" si="1"/>
        <v>5.0000000000000117E-10</v>
      </c>
      <c r="W61">
        <f t="shared" si="1"/>
        <v>1.1499999999999997E-8</v>
      </c>
      <c r="X61">
        <f t="shared" si="1"/>
        <v>2.099999999999999E-9</v>
      </c>
      <c r="Y61">
        <f t="shared" si="1"/>
        <v>-5.2000000000000002E-9</v>
      </c>
    </row>
    <row r="62" spans="1:25" x14ac:dyDescent="0.2">
      <c r="A62" t="s">
        <v>66</v>
      </c>
      <c r="B62" s="1">
        <v>1.8699999999999999E-8</v>
      </c>
      <c r="C62" s="1">
        <v>-5.1900000000000002E-8</v>
      </c>
      <c r="D62" s="1">
        <v>3.7900000000000002E-8</v>
      </c>
      <c r="E62" s="1">
        <v>5.1900000000000002E-8</v>
      </c>
      <c r="G62" s="1">
        <v>1.4E-5</v>
      </c>
      <c r="H62" s="1">
        <v>-8.9900000000000003E-5</v>
      </c>
      <c r="I62">
        <v>1.3708500000000001E-4</v>
      </c>
      <c r="J62">
        <v>1.3708500000000001E-4</v>
      </c>
      <c r="L62" s="1">
        <v>2.48E-8</v>
      </c>
      <c r="M62" s="1">
        <v>-5.32E-8</v>
      </c>
      <c r="N62" s="1">
        <v>5.0899999999999999E-8</v>
      </c>
      <c r="O62" s="1">
        <v>5.32E-8</v>
      </c>
      <c r="Q62">
        <f t="shared" si="0"/>
        <v>-1.3981299999999999E-5</v>
      </c>
      <c r="R62">
        <f t="shared" si="0"/>
        <v>8.9848100000000005E-5</v>
      </c>
      <c r="S62">
        <f t="shared" si="0"/>
        <v>-1.3704710000000001E-4</v>
      </c>
      <c r="T62">
        <f t="shared" si="0"/>
        <v>-1.3703310000000001E-4</v>
      </c>
      <c r="V62">
        <f t="shared" si="1"/>
        <v>-6.1000000000000017E-9</v>
      </c>
      <c r="W62">
        <f t="shared" si="1"/>
        <v>1.2999999999999984E-9</v>
      </c>
      <c r="X62">
        <f t="shared" si="1"/>
        <v>-1.2999999999999997E-8</v>
      </c>
      <c r="Y62">
        <f t="shared" si="1"/>
        <v>-1.2999999999999984E-9</v>
      </c>
    </row>
    <row r="63" spans="1:25" x14ac:dyDescent="0.2">
      <c r="A63" t="s">
        <v>67</v>
      </c>
      <c r="B63" s="1">
        <v>2.0100000000000001E-8</v>
      </c>
      <c r="C63" s="1">
        <v>-5.4200000000000002E-8</v>
      </c>
      <c r="D63" s="1">
        <v>4.7400000000000001E-8</v>
      </c>
      <c r="E63" s="1">
        <v>5.4200000000000002E-8</v>
      </c>
      <c r="G63" s="1">
        <v>4.35E-5</v>
      </c>
      <c r="H63" s="1">
        <v>-5.5899999999999997E-5</v>
      </c>
      <c r="I63">
        <v>1.4575689999999999E-3</v>
      </c>
      <c r="J63">
        <v>1.4575689999999999E-3</v>
      </c>
      <c r="L63" s="1">
        <v>2.2099999999999999E-8</v>
      </c>
      <c r="M63">
        <v>-4.9999999999999998E-8</v>
      </c>
      <c r="N63" s="1">
        <v>4.9800000000000003E-8</v>
      </c>
      <c r="O63">
        <v>4.9999999999999998E-8</v>
      </c>
      <c r="Q63">
        <f t="shared" si="0"/>
        <v>-4.3479900000000004E-5</v>
      </c>
      <c r="R63">
        <f t="shared" si="0"/>
        <v>5.58458E-5</v>
      </c>
      <c r="S63">
        <f t="shared" si="0"/>
        <v>-1.4575216E-3</v>
      </c>
      <c r="T63">
        <f t="shared" si="0"/>
        <v>-1.4575147999999999E-3</v>
      </c>
      <c r="V63">
        <f t="shared" si="1"/>
        <v>-1.9999999999999981E-9</v>
      </c>
      <c r="W63">
        <f t="shared" si="1"/>
        <v>-4.2000000000000045E-9</v>
      </c>
      <c r="X63">
        <f t="shared" si="1"/>
        <v>-2.4000000000000016E-9</v>
      </c>
      <c r="Y63">
        <f t="shared" si="1"/>
        <v>4.2000000000000045E-9</v>
      </c>
    </row>
    <row r="64" spans="1:25" x14ac:dyDescent="0.2">
      <c r="A64" t="s">
        <v>68</v>
      </c>
      <c r="B64" s="1">
        <v>2.18E-8</v>
      </c>
      <c r="C64" s="1">
        <v>-4.6900000000000003E-8</v>
      </c>
      <c r="D64">
        <v>4.9999999999999998E-8</v>
      </c>
      <c r="E64">
        <v>4.9999999999999998E-8</v>
      </c>
      <c r="G64" s="1">
        <v>4.8500000000000002E-6</v>
      </c>
      <c r="H64" s="1">
        <v>-7.1500000000000003E-5</v>
      </c>
      <c r="I64" s="1">
        <v>2.62E-5</v>
      </c>
      <c r="J64" s="1">
        <v>7.1500000000000003E-5</v>
      </c>
      <c r="L64" s="1">
        <v>1.9399999999999998E-8</v>
      </c>
      <c r="M64" s="1">
        <v>-5.4499999999999998E-8</v>
      </c>
      <c r="N64" s="1">
        <v>4.5900000000000001E-8</v>
      </c>
      <c r="O64" s="1">
        <v>5.4499999999999998E-8</v>
      </c>
      <c r="Q64">
        <f t="shared" si="0"/>
        <v>-4.8281999999999998E-6</v>
      </c>
      <c r="R64">
        <f t="shared" si="0"/>
        <v>7.1453100000000002E-5</v>
      </c>
      <c r="S64">
        <f t="shared" si="0"/>
        <v>-2.6149999999999999E-5</v>
      </c>
      <c r="T64">
        <f t="shared" si="0"/>
        <v>-7.1450000000000002E-5</v>
      </c>
      <c r="V64">
        <f t="shared" si="1"/>
        <v>2.4000000000000016E-9</v>
      </c>
      <c r="W64">
        <f t="shared" si="1"/>
        <v>7.5999999999999953E-9</v>
      </c>
      <c r="X64">
        <f t="shared" si="1"/>
        <v>4.099999999999997E-9</v>
      </c>
      <c r="Y64">
        <f t="shared" si="1"/>
        <v>-4.5000000000000006E-9</v>
      </c>
    </row>
    <row r="65" spans="1:25" x14ac:dyDescent="0.2">
      <c r="A65" t="s">
        <v>69</v>
      </c>
      <c r="B65" s="1">
        <v>2.2300000000000001E-8</v>
      </c>
      <c r="C65">
        <v>-5.2999999999999998E-8</v>
      </c>
      <c r="D65" s="1">
        <v>5.6099999999999999E-8</v>
      </c>
      <c r="E65" s="1">
        <v>5.6099999999999999E-8</v>
      </c>
      <c r="G65" s="1">
        <v>7.7600000000000002E-6</v>
      </c>
      <c r="H65" s="1">
        <v>-4.6E-5</v>
      </c>
      <c r="I65" s="1">
        <v>5.1E-5</v>
      </c>
      <c r="J65" s="1">
        <v>5.1E-5</v>
      </c>
      <c r="L65" s="1">
        <v>1.96E-8</v>
      </c>
      <c r="M65" s="1">
        <v>-5.1399999999999997E-8</v>
      </c>
      <c r="N65" s="1">
        <v>5.1900000000000002E-8</v>
      </c>
      <c r="O65" s="1">
        <v>5.1900000000000002E-8</v>
      </c>
      <c r="Q65">
        <f t="shared" si="0"/>
        <v>-7.7377000000000005E-6</v>
      </c>
      <c r="R65">
        <f t="shared" si="0"/>
        <v>4.5946999999999999E-5</v>
      </c>
      <c r="S65">
        <f t="shared" si="0"/>
        <v>-5.0943899999999999E-5</v>
      </c>
      <c r="T65">
        <f t="shared" si="0"/>
        <v>-5.0943899999999999E-5</v>
      </c>
      <c r="V65">
        <f t="shared" si="1"/>
        <v>2.700000000000001E-9</v>
      </c>
      <c r="W65">
        <f t="shared" si="1"/>
        <v>-1.6000000000000011E-9</v>
      </c>
      <c r="X65">
        <f t="shared" si="1"/>
        <v>4.1999999999999979E-9</v>
      </c>
      <c r="Y65">
        <f t="shared" si="1"/>
        <v>4.1999999999999979E-9</v>
      </c>
    </row>
    <row r="66" spans="1:25" x14ac:dyDescent="0.2">
      <c r="A66" t="s">
        <v>70</v>
      </c>
      <c r="B66" s="1">
        <v>2.2300000000000001E-8</v>
      </c>
      <c r="C66" s="1">
        <v>-5.9200000000000001E-8</v>
      </c>
      <c r="D66" s="1">
        <v>5.2600000000000001E-8</v>
      </c>
      <c r="E66" s="1">
        <v>5.9200000000000001E-8</v>
      </c>
      <c r="G66" s="1">
        <v>7.3799999999999996E-6</v>
      </c>
      <c r="H66" s="1">
        <v>-4.85E-5</v>
      </c>
      <c r="I66">
        <v>5.1610000000000002E-5</v>
      </c>
      <c r="J66">
        <v>5.1610000000000002E-5</v>
      </c>
      <c r="L66" s="1">
        <v>1.9099999999999999E-8</v>
      </c>
      <c r="M66" s="1">
        <v>-5.0099999999999999E-8</v>
      </c>
      <c r="N66" s="1">
        <v>4.1500000000000001E-8</v>
      </c>
      <c r="O66" s="1">
        <v>5.0099999999999999E-8</v>
      </c>
      <c r="Q66">
        <f t="shared" si="0"/>
        <v>-7.3576999999999999E-6</v>
      </c>
      <c r="R66">
        <f t="shared" si="0"/>
        <v>4.8440799999999999E-5</v>
      </c>
      <c r="S66">
        <f t="shared" si="0"/>
        <v>-5.1557400000000002E-5</v>
      </c>
      <c r="T66">
        <f t="shared" ref="T66:T89" si="4">IF(ISNUMBER(E66),E66-J66,"")</f>
        <v>-5.1550800000000001E-5</v>
      </c>
      <c r="V66">
        <f t="shared" si="1"/>
        <v>3.2000000000000022E-9</v>
      </c>
      <c r="W66">
        <f t="shared" si="1"/>
        <v>-9.1000000000000021E-9</v>
      </c>
      <c r="X66">
        <f t="shared" si="1"/>
        <v>1.11E-8</v>
      </c>
      <c r="Y66">
        <f t="shared" si="1"/>
        <v>9.1000000000000021E-9</v>
      </c>
    </row>
    <row r="67" spans="1:25" x14ac:dyDescent="0.2">
      <c r="A67" t="s">
        <v>71</v>
      </c>
      <c r="B67" s="1">
        <v>1.9300000000000001E-8</v>
      </c>
      <c r="C67" s="1">
        <v>-5.7200000000000003E-8</v>
      </c>
      <c r="D67" s="1">
        <v>4.29E-8</v>
      </c>
      <c r="E67" s="1">
        <v>5.7200000000000003E-8</v>
      </c>
      <c r="G67" s="1">
        <v>6.9500000000000004E-6</v>
      </c>
      <c r="H67" s="1">
        <v>-9.0400000000000002E-5</v>
      </c>
      <c r="I67" s="1">
        <v>4.6300000000000001E-5</v>
      </c>
      <c r="J67" s="1">
        <v>9.0400000000000002E-5</v>
      </c>
      <c r="L67">
        <v>2.1999999999999998E-8</v>
      </c>
      <c r="M67" s="1">
        <v>-5.4399999999999997E-8</v>
      </c>
      <c r="N67" s="1">
        <v>4.8100000000000001E-8</v>
      </c>
      <c r="O67" s="1">
        <v>5.4399999999999997E-8</v>
      </c>
      <c r="Q67">
        <f t="shared" ref="Q67:S89" si="5">IF(ISNUMBER(B67),B67-G67,"")</f>
        <v>-6.9307000000000004E-6</v>
      </c>
      <c r="R67">
        <f t="shared" si="5"/>
        <v>9.0342799999999998E-5</v>
      </c>
      <c r="S67">
        <f t="shared" si="5"/>
        <v>-4.6257100000000001E-5</v>
      </c>
      <c r="T67">
        <f t="shared" si="4"/>
        <v>-9.0342799999999998E-5</v>
      </c>
      <c r="V67">
        <f t="shared" si="1"/>
        <v>-2.6999999999999977E-9</v>
      </c>
      <c r="W67">
        <f t="shared" si="1"/>
        <v>-2.8000000000000052E-9</v>
      </c>
      <c r="X67">
        <f t="shared" si="1"/>
        <v>-5.2000000000000002E-9</v>
      </c>
      <c r="Y67">
        <f t="shared" si="1"/>
        <v>2.8000000000000052E-9</v>
      </c>
    </row>
    <row r="68" spans="1:25" x14ac:dyDescent="0.2">
      <c r="A68" t="s">
        <v>72</v>
      </c>
      <c r="B68" s="1">
        <v>2.44E-8</v>
      </c>
      <c r="C68" s="1">
        <v>-5.2399999999999999E-8</v>
      </c>
      <c r="D68">
        <v>4.9999999999999998E-8</v>
      </c>
      <c r="E68" s="1">
        <v>5.2399999999999999E-8</v>
      </c>
      <c r="G68" s="1">
        <v>7.0099999999999998E-6</v>
      </c>
      <c r="H68" s="1">
        <v>-6.7500000000000001E-5</v>
      </c>
      <c r="I68" s="1">
        <v>6.1799999999999998E-5</v>
      </c>
      <c r="J68" s="1">
        <v>6.7500000000000001E-5</v>
      </c>
      <c r="L68" s="1">
        <v>2.3199999999999999E-8</v>
      </c>
      <c r="M68" s="1">
        <v>-5.0099999999999999E-8</v>
      </c>
      <c r="N68" s="1">
        <v>5.0500000000000002E-8</v>
      </c>
      <c r="O68" s="1">
        <v>5.0500000000000002E-8</v>
      </c>
      <c r="Q68">
        <f t="shared" si="5"/>
        <v>-6.9855999999999997E-6</v>
      </c>
      <c r="R68">
        <f t="shared" si="5"/>
        <v>6.7447599999999994E-5</v>
      </c>
      <c r="S68">
        <f t="shared" si="5"/>
        <v>-6.1749999999999997E-5</v>
      </c>
      <c r="T68">
        <f t="shared" si="4"/>
        <v>-6.7447599999999994E-5</v>
      </c>
      <c r="V68">
        <f t="shared" si="1"/>
        <v>1.2000000000000008E-9</v>
      </c>
      <c r="W68">
        <f t="shared" ref="W68:Y89" si="6">IF(ISNUMBER(C68),C68-M68,"")</f>
        <v>-2.3000000000000007E-9</v>
      </c>
      <c r="X68">
        <f t="shared" si="6"/>
        <v>-5.0000000000000448E-10</v>
      </c>
      <c r="Y68">
        <f t="shared" si="6"/>
        <v>1.8999999999999972E-9</v>
      </c>
    </row>
    <row r="69" spans="1:25" x14ac:dyDescent="0.2">
      <c r="A69" t="s">
        <v>73</v>
      </c>
      <c r="B69" s="1">
        <v>2.3199999999999999E-8</v>
      </c>
      <c r="C69" s="1">
        <v>-4.9700000000000002E-8</v>
      </c>
      <c r="D69" s="1">
        <v>5.7700000000000001E-8</v>
      </c>
      <c r="E69" s="1">
        <v>5.7700000000000001E-8</v>
      </c>
      <c r="G69" s="1">
        <v>1.59E-5</v>
      </c>
      <c r="H69">
        <v>-3.5643900000000001E-4</v>
      </c>
      <c r="I69">
        <v>1.09129E-4</v>
      </c>
      <c r="J69">
        <v>3.5643900000000001E-4</v>
      </c>
      <c r="L69" s="1">
        <v>2.4599999999999999E-8</v>
      </c>
      <c r="M69" s="1">
        <v>-4.9299999999999998E-8</v>
      </c>
      <c r="N69" s="1">
        <v>5.2800000000000003E-8</v>
      </c>
      <c r="O69" s="1">
        <v>5.2800000000000003E-8</v>
      </c>
      <c r="Q69">
        <f t="shared" si="5"/>
        <v>-1.58768E-5</v>
      </c>
      <c r="R69">
        <f t="shared" si="5"/>
        <v>3.5638930000000003E-4</v>
      </c>
      <c r="S69">
        <f t="shared" si="5"/>
        <v>-1.0907130000000001E-4</v>
      </c>
      <c r="T69">
        <f t="shared" si="4"/>
        <v>-3.5638130000000001E-4</v>
      </c>
      <c r="V69">
        <f t="shared" ref="V69:V89" si="7">IF(ISNUMBER(B69),B69-L69,"")</f>
        <v>-1.3999999999999993E-9</v>
      </c>
      <c r="W69">
        <f t="shared" si="6"/>
        <v>-4.0000000000000358E-10</v>
      </c>
      <c r="X69">
        <f t="shared" si="6"/>
        <v>4.8999999999999976E-9</v>
      </c>
      <c r="Y69">
        <f t="shared" si="6"/>
        <v>4.8999999999999976E-9</v>
      </c>
    </row>
    <row r="70" spans="1:25" x14ac:dyDescent="0.2">
      <c r="A70" t="s">
        <v>74</v>
      </c>
      <c r="B70" s="1">
        <v>2.29E-8</v>
      </c>
      <c r="C70" s="1">
        <v>-4.8599999999999998E-8</v>
      </c>
      <c r="D70" s="1">
        <v>5.17E-8</v>
      </c>
      <c r="E70" s="1">
        <v>5.17E-8</v>
      </c>
      <c r="G70">
        <v>1.12021E-4</v>
      </c>
      <c r="H70">
        <v>-1.615E-4</v>
      </c>
      <c r="I70">
        <v>6.316416E-3</v>
      </c>
      <c r="J70">
        <v>6.316416E-3</v>
      </c>
      <c r="L70" s="1">
        <v>1.9099999999999999E-8</v>
      </c>
      <c r="M70" s="1">
        <v>-5.4399999999999997E-8</v>
      </c>
      <c r="N70" s="1">
        <v>5.2299999999999998E-8</v>
      </c>
      <c r="O70" s="1">
        <v>5.4399999999999997E-8</v>
      </c>
      <c r="Q70">
        <f t="shared" si="5"/>
        <v>-1.119981E-4</v>
      </c>
      <c r="R70">
        <f t="shared" si="5"/>
        <v>1.6145139999999998E-4</v>
      </c>
      <c r="S70">
        <f t="shared" si="5"/>
        <v>-6.3163643000000002E-3</v>
      </c>
      <c r="T70">
        <f t="shared" si="4"/>
        <v>-6.3163643000000002E-3</v>
      </c>
      <c r="V70">
        <f t="shared" si="7"/>
        <v>3.8000000000000009E-9</v>
      </c>
      <c r="W70">
        <f t="shared" si="6"/>
        <v>5.799999999999999E-9</v>
      </c>
      <c r="X70">
        <f t="shared" si="6"/>
        <v>-5.9999999999999876E-10</v>
      </c>
      <c r="Y70">
        <f t="shared" si="6"/>
        <v>-2.6999999999999977E-9</v>
      </c>
    </row>
    <row r="71" spans="1:25" x14ac:dyDescent="0.2">
      <c r="A71" t="s">
        <v>75</v>
      </c>
      <c r="B71" s="1">
        <v>1.8399999999999999E-8</v>
      </c>
      <c r="C71" s="1">
        <v>-5.54E-8</v>
      </c>
      <c r="D71" s="1">
        <v>5.1399999999999997E-8</v>
      </c>
      <c r="E71" s="1">
        <v>5.54E-8</v>
      </c>
      <c r="G71" s="1">
        <v>8.7299999999999994E-8</v>
      </c>
      <c r="H71" s="1">
        <v>-5.7899999999999998E-7</v>
      </c>
      <c r="I71" s="1">
        <v>6.5499999999999998E-7</v>
      </c>
      <c r="J71" s="1">
        <v>6.5499999999999998E-7</v>
      </c>
      <c r="L71" s="1">
        <v>2.1600000000000002E-8</v>
      </c>
      <c r="M71" s="1">
        <v>-4.9899999999999997E-8</v>
      </c>
      <c r="N71" s="1">
        <v>4.8100000000000001E-8</v>
      </c>
      <c r="O71" s="1">
        <v>4.9899999999999997E-8</v>
      </c>
      <c r="Q71">
        <f t="shared" si="5"/>
        <v>-6.8899999999999988E-8</v>
      </c>
      <c r="R71">
        <f t="shared" si="5"/>
        <v>5.2359999999999995E-7</v>
      </c>
      <c r="S71">
        <f t="shared" si="5"/>
        <v>-6.0360000000000003E-7</v>
      </c>
      <c r="T71">
        <f t="shared" si="4"/>
        <v>-5.9959999999999994E-7</v>
      </c>
      <c r="V71">
        <f t="shared" si="7"/>
        <v>-3.2000000000000022E-9</v>
      </c>
      <c r="W71">
        <f t="shared" si="6"/>
        <v>-5.5000000000000029E-9</v>
      </c>
      <c r="X71">
        <f t="shared" si="6"/>
        <v>3.2999999999999965E-9</v>
      </c>
      <c r="Y71">
        <f t="shared" si="6"/>
        <v>5.5000000000000029E-9</v>
      </c>
    </row>
    <row r="72" spans="1:25" x14ac:dyDescent="0.2">
      <c r="A72" t="s">
        <v>76</v>
      </c>
      <c r="B72">
        <v>1.3000000000000001E-8</v>
      </c>
      <c r="C72" s="1">
        <v>-5.4499999999999998E-8</v>
      </c>
      <c r="D72" s="1">
        <v>5.0600000000000003E-8</v>
      </c>
      <c r="E72" s="1">
        <v>5.4499999999999998E-8</v>
      </c>
      <c r="G72" s="1">
        <v>2.77E-8</v>
      </c>
      <c r="H72" s="1">
        <v>-1.9399999999999999E-7</v>
      </c>
      <c r="I72" s="1">
        <v>1.61E-7</v>
      </c>
      <c r="J72" s="1">
        <v>1.9399999999999999E-7</v>
      </c>
      <c r="L72" s="1">
        <v>2.1699999999999999E-8</v>
      </c>
      <c r="M72" s="1">
        <v>-5.3099999999999999E-8</v>
      </c>
      <c r="N72" s="1">
        <v>4.9100000000000003E-8</v>
      </c>
      <c r="O72" s="1">
        <v>5.3099999999999999E-8</v>
      </c>
      <c r="Q72">
        <f t="shared" si="5"/>
        <v>-1.4699999999999999E-8</v>
      </c>
      <c r="R72">
        <f t="shared" si="5"/>
        <v>1.395E-7</v>
      </c>
      <c r="S72">
        <f t="shared" si="5"/>
        <v>-1.104E-7</v>
      </c>
      <c r="T72">
        <f t="shared" si="4"/>
        <v>-1.395E-7</v>
      </c>
      <c r="V72">
        <f t="shared" si="7"/>
        <v>-8.6999999999999985E-9</v>
      </c>
      <c r="W72">
        <f t="shared" si="6"/>
        <v>-1.3999999999999993E-9</v>
      </c>
      <c r="X72">
        <f t="shared" si="6"/>
        <v>1.5000000000000002E-9</v>
      </c>
      <c r="Y72">
        <f t="shared" si="6"/>
        <v>1.3999999999999993E-9</v>
      </c>
    </row>
    <row r="73" spans="1:25" x14ac:dyDescent="0.2">
      <c r="A73" t="s">
        <v>77</v>
      </c>
      <c r="B73" s="1">
        <v>2.1600000000000002E-8</v>
      </c>
      <c r="C73" s="1">
        <v>-5.3799999999999999E-8</v>
      </c>
      <c r="D73" s="1">
        <v>5.7900000000000002E-8</v>
      </c>
      <c r="E73" s="1">
        <v>5.7900000000000002E-8</v>
      </c>
      <c r="G73">
        <v>1.7306999999999999E-5</v>
      </c>
      <c r="H73">
        <v>-3.8157799999999998E-4</v>
      </c>
      <c r="I73">
        <v>1.74742E-4</v>
      </c>
      <c r="J73">
        <v>3.8157799999999998E-4</v>
      </c>
      <c r="L73" s="1">
        <v>2.1299999999999999E-8</v>
      </c>
      <c r="M73">
        <v>-4.4999999999999999E-8</v>
      </c>
      <c r="N73" s="1">
        <v>5.2100000000000003E-8</v>
      </c>
      <c r="O73" s="1">
        <v>5.2100000000000003E-8</v>
      </c>
      <c r="Q73">
        <f t="shared" si="5"/>
        <v>-1.7285399999999999E-5</v>
      </c>
      <c r="R73">
        <f t="shared" si="5"/>
        <v>3.8152419999999996E-4</v>
      </c>
      <c r="S73">
        <f t="shared" si="5"/>
        <v>-1.7468409999999999E-4</v>
      </c>
      <c r="T73">
        <f t="shared" si="4"/>
        <v>-3.8152009999999997E-4</v>
      </c>
      <c r="V73">
        <f t="shared" si="7"/>
        <v>3.0000000000000269E-10</v>
      </c>
      <c r="W73">
        <f t="shared" si="6"/>
        <v>-8.7999999999999994E-9</v>
      </c>
      <c r="X73">
        <f t="shared" si="6"/>
        <v>5.799999999999999E-9</v>
      </c>
      <c r="Y73">
        <f t="shared" si="6"/>
        <v>5.799999999999999E-9</v>
      </c>
    </row>
    <row r="74" spans="1:25" x14ac:dyDescent="0.2">
      <c r="A74" t="s">
        <v>78</v>
      </c>
      <c r="B74" s="1">
        <v>2.2799999999999999E-8</v>
      </c>
      <c r="C74" s="1">
        <v>-4.4899999999999998E-8</v>
      </c>
      <c r="D74" s="1">
        <v>5.2700000000000002E-8</v>
      </c>
      <c r="E74" s="1">
        <v>5.2700000000000002E-8</v>
      </c>
      <c r="G74" s="1">
        <v>6.2500000000000003E-6</v>
      </c>
      <c r="H74">
        <v>-1.23435E-4</v>
      </c>
      <c r="I74" s="1">
        <v>7.3100000000000001E-5</v>
      </c>
      <c r="J74">
        <v>1.23435E-4</v>
      </c>
      <c r="L74" s="1">
        <v>2.0400000000000001E-8</v>
      </c>
      <c r="M74" s="1">
        <v>-4.3499999999999999E-8</v>
      </c>
      <c r="N74" s="1">
        <v>3.8500000000000001E-8</v>
      </c>
      <c r="O74" s="1">
        <v>4.3499999999999999E-8</v>
      </c>
      <c r="Q74">
        <f t="shared" si="5"/>
        <v>-6.2272000000000003E-6</v>
      </c>
      <c r="R74">
        <f t="shared" si="5"/>
        <v>1.233901E-4</v>
      </c>
      <c r="S74">
        <f t="shared" si="5"/>
        <v>-7.3047300000000001E-5</v>
      </c>
      <c r="T74">
        <f t="shared" si="4"/>
        <v>-1.233823E-4</v>
      </c>
      <c r="V74">
        <f t="shared" si="7"/>
        <v>2.3999999999999983E-9</v>
      </c>
      <c r="W74">
        <f t="shared" si="6"/>
        <v>-1.3999999999999993E-9</v>
      </c>
      <c r="X74">
        <f t="shared" si="6"/>
        <v>1.4200000000000001E-8</v>
      </c>
      <c r="Y74">
        <f t="shared" si="6"/>
        <v>9.200000000000003E-9</v>
      </c>
    </row>
    <row r="75" spans="1:25" x14ac:dyDescent="0.2">
      <c r="A75" t="s">
        <v>79</v>
      </c>
      <c r="B75" s="1">
        <v>2.3499999999999999E-8</v>
      </c>
      <c r="C75">
        <v>-4.4999999999999999E-8</v>
      </c>
      <c r="D75" s="1">
        <v>5.2700000000000002E-8</v>
      </c>
      <c r="E75" s="1">
        <v>5.2700000000000002E-8</v>
      </c>
      <c r="G75" s="1">
        <v>1.53E-6</v>
      </c>
      <c r="H75" s="1">
        <v>-9.2499999999999995E-6</v>
      </c>
      <c r="I75" s="1">
        <v>1.8199999999999999E-5</v>
      </c>
      <c r="J75" s="1">
        <v>1.8199999999999999E-5</v>
      </c>
      <c r="L75" s="1">
        <v>2.14E-8</v>
      </c>
      <c r="M75" s="1">
        <v>-4.9100000000000003E-8</v>
      </c>
      <c r="N75" s="1">
        <v>5.0899999999999999E-8</v>
      </c>
      <c r="O75" s="1">
        <v>5.0899999999999999E-8</v>
      </c>
      <c r="Q75">
        <f t="shared" si="5"/>
        <v>-1.5064999999999999E-6</v>
      </c>
      <c r="R75">
        <f t="shared" si="5"/>
        <v>9.2049999999999991E-6</v>
      </c>
      <c r="S75">
        <f t="shared" si="5"/>
        <v>-1.8147299999999998E-5</v>
      </c>
      <c r="T75">
        <f t="shared" si="4"/>
        <v>-1.8147299999999998E-5</v>
      </c>
      <c r="V75">
        <f t="shared" si="7"/>
        <v>2.099999999999999E-9</v>
      </c>
      <c r="W75">
        <f t="shared" si="6"/>
        <v>4.1000000000000036E-9</v>
      </c>
      <c r="X75">
        <f t="shared" si="6"/>
        <v>1.8000000000000029E-9</v>
      </c>
      <c r="Y75">
        <f t="shared" si="6"/>
        <v>1.8000000000000029E-9</v>
      </c>
    </row>
    <row r="76" spans="1:25" x14ac:dyDescent="0.2">
      <c r="A76" t="s">
        <v>80</v>
      </c>
      <c r="B76" s="1">
        <v>2.0800000000000001E-8</v>
      </c>
      <c r="C76" s="1">
        <v>-5.3599999999999997E-8</v>
      </c>
      <c r="D76" s="1">
        <v>4.1199999999999998E-8</v>
      </c>
      <c r="E76" s="1">
        <v>5.3599999999999997E-8</v>
      </c>
      <c r="G76" s="1">
        <v>2.9099999999999999E-8</v>
      </c>
      <c r="H76" s="1">
        <v>-1.5300000000000001E-7</v>
      </c>
      <c r="I76" s="1">
        <v>1.7599999999999999E-7</v>
      </c>
      <c r="J76" s="1">
        <v>1.7599999999999999E-7</v>
      </c>
      <c r="L76" s="1">
        <v>1.9799999999999999E-8</v>
      </c>
      <c r="M76" s="1">
        <v>-5.0799999999999998E-8</v>
      </c>
      <c r="N76">
        <v>4.9000000000000002E-8</v>
      </c>
      <c r="O76" s="1">
        <v>5.0799999999999998E-8</v>
      </c>
      <c r="Q76">
        <f t="shared" si="5"/>
        <v>-8.2999999999999982E-9</v>
      </c>
      <c r="R76">
        <f t="shared" si="5"/>
        <v>9.9400000000000003E-8</v>
      </c>
      <c r="S76">
        <f t="shared" si="5"/>
        <v>-1.3479999999999999E-7</v>
      </c>
      <c r="T76">
        <f t="shared" si="4"/>
        <v>-1.2239999999999998E-7</v>
      </c>
      <c r="V76">
        <f t="shared" si="7"/>
        <v>1.0000000000000023E-9</v>
      </c>
      <c r="W76">
        <f t="shared" si="6"/>
        <v>-2.7999999999999986E-9</v>
      </c>
      <c r="X76">
        <f t="shared" si="6"/>
        <v>-7.8000000000000037E-9</v>
      </c>
      <c r="Y76">
        <f t="shared" si="6"/>
        <v>2.7999999999999986E-9</v>
      </c>
    </row>
    <row r="77" spans="1:25" x14ac:dyDescent="0.2">
      <c r="A77" t="s">
        <v>81</v>
      </c>
      <c r="B77" s="1">
        <v>1.9799999999999999E-8</v>
      </c>
      <c r="C77" s="1">
        <v>-4.3299999999999997E-8</v>
      </c>
      <c r="D77" s="1">
        <v>4.5599999999999998E-8</v>
      </c>
      <c r="E77" s="1">
        <v>4.5599999999999998E-8</v>
      </c>
      <c r="G77" s="1">
        <v>2.4600000000000001E-7</v>
      </c>
      <c r="H77" s="1">
        <v>-2.9900000000000002E-6</v>
      </c>
      <c r="I77" s="1">
        <v>1.9E-6</v>
      </c>
      <c r="J77" s="1">
        <v>2.9900000000000002E-6</v>
      </c>
      <c r="L77" s="1">
        <v>1.8299999999999998E-8</v>
      </c>
      <c r="M77" s="1">
        <v>-4.9299999999999998E-8</v>
      </c>
      <c r="N77">
        <v>3.8999999999999998E-8</v>
      </c>
      <c r="O77" s="1">
        <v>4.9299999999999998E-8</v>
      </c>
      <c r="Q77">
        <f t="shared" si="5"/>
        <v>-2.262E-7</v>
      </c>
      <c r="R77">
        <f t="shared" si="5"/>
        <v>2.9467000000000001E-6</v>
      </c>
      <c r="S77">
        <f t="shared" si="5"/>
        <v>-1.8544E-6</v>
      </c>
      <c r="T77">
        <f t="shared" si="4"/>
        <v>-2.9444000000000001E-6</v>
      </c>
      <c r="V77">
        <f t="shared" si="7"/>
        <v>1.5000000000000002E-9</v>
      </c>
      <c r="W77">
        <f t="shared" si="6"/>
        <v>6.0000000000000008E-9</v>
      </c>
      <c r="X77">
        <f t="shared" si="6"/>
        <v>6.5999999999999995E-9</v>
      </c>
      <c r="Y77">
        <f t="shared" si="6"/>
        <v>-3.7E-9</v>
      </c>
    </row>
    <row r="78" spans="1:25" x14ac:dyDescent="0.2">
      <c r="A78" t="s">
        <v>82</v>
      </c>
      <c r="B78" s="1">
        <v>2.0599999999999999E-8</v>
      </c>
      <c r="C78" s="1">
        <v>-5.6599999999999997E-8</v>
      </c>
      <c r="D78" s="1">
        <v>5.03E-8</v>
      </c>
      <c r="E78" s="1">
        <v>5.6599999999999997E-8</v>
      </c>
      <c r="G78" s="1">
        <v>5.6300000000000005E-7</v>
      </c>
      <c r="H78" s="1">
        <v>-3.3799999999999998E-6</v>
      </c>
      <c r="I78" s="1">
        <v>3.4300000000000002E-6</v>
      </c>
      <c r="J78" s="1">
        <v>3.4300000000000002E-6</v>
      </c>
      <c r="L78" s="1">
        <v>2.0199999999999999E-8</v>
      </c>
      <c r="M78" s="1">
        <v>-4.0399999999999998E-8</v>
      </c>
      <c r="N78" s="1">
        <v>4.6199999999999997E-8</v>
      </c>
      <c r="O78" s="1">
        <v>4.6199999999999997E-8</v>
      </c>
      <c r="Q78">
        <f t="shared" si="5"/>
        <v>-5.4240000000000009E-7</v>
      </c>
      <c r="R78">
        <f t="shared" si="5"/>
        <v>3.3233999999999998E-6</v>
      </c>
      <c r="S78">
        <f t="shared" si="5"/>
        <v>-3.3797E-6</v>
      </c>
      <c r="T78">
        <f t="shared" si="4"/>
        <v>-3.3734000000000002E-6</v>
      </c>
      <c r="V78">
        <f t="shared" si="7"/>
        <v>4.0000000000000027E-10</v>
      </c>
      <c r="W78">
        <f t="shared" si="6"/>
        <v>-1.6199999999999999E-8</v>
      </c>
      <c r="X78">
        <f t="shared" si="6"/>
        <v>4.1000000000000036E-9</v>
      </c>
      <c r="Y78">
        <f t="shared" si="6"/>
        <v>1.04E-8</v>
      </c>
    </row>
    <row r="79" spans="1:25" x14ac:dyDescent="0.2">
      <c r="A79" t="s">
        <v>83</v>
      </c>
      <c r="B79" s="1">
        <v>2.25E-8</v>
      </c>
      <c r="C79" s="1">
        <v>-5.5899999999999998E-8</v>
      </c>
      <c r="D79" s="1">
        <v>4.6299999999999998E-8</v>
      </c>
      <c r="E79" s="1">
        <v>5.5899999999999998E-8</v>
      </c>
      <c r="G79" s="1">
        <v>6.37E-7</v>
      </c>
      <c r="H79" s="1">
        <v>-9.2499999999999995E-6</v>
      </c>
      <c r="I79" s="1">
        <v>3.6100000000000002E-6</v>
      </c>
      <c r="J79" s="1">
        <v>9.2499999999999995E-6</v>
      </c>
      <c r="L79" s="1">
        <v>2.22E-8</v>
      </c>
      <c r="M79" s="1">
        <v>-4.6299999999999998E-8</v>
      </c>
      <c r="N79" s="1">
        <v>5.3099999999999999E-8</v>
      </c>
      <c r="O79" s="1">
        <v>5.3099999999999999E-8</v>
      </c>
      <c r="Q79">
        <f t="shared" si="5"/>
        <v>-6.145E-7</v>
      </c>
      <c r="R79">
        <f t="shared" si="5"/>
        <v>9.1940999999999989E-6</v>
      </c>
      <c r="S79">
        <f t="shared" si="5"/>
        <v>-3.5637000000000003E-6</v>
      </c>
      <c r="T79">
        <f t="shared" si="4"/>
        <v>-9.1940999999999989E-6</v>
      </c>
      <c r="V79">
        <f t="shared" si="7"/>
        <v>2.9999999999999938E-10</v>
      </c>
      <c r="W79">
        <f t="shared" si="6"/>
        <v>-9.5999999999999999E-9</v>
      </c>
      <c r="X79">
        <f t="shared" si="6"/>
        <v>-6.8000000000000013E-9</v>
      </c>
      <c r="Y79">
        <f t="shared" si="6"/>
        <v>2.7999999999999986E-9</v>
      </c>
    </row>
    <row r="80" spans="1:25" x14ac:dyDescent="0.2">
      <c r="A80" t="s">
        <v>84</v>
      </c>
      <c r="B80" s="1">
        <v>2.3099999999999998E-8</v>
      </c>
      <c r="C80" s="1">
        <v>-5.03E-8</v>
      </c>
      <c r="D80" s="1">
        <v>4.8100000000000001E-8</v>
      </c>
      <c r="E80" s="1">
        <v>5.03E-8</v>
      </c>
      <c r="G80" s="1">
        <v>1.5999999999999999E-5</v>
      </c>
      <c r="H80" s="1">
        <v>-7.1500000000000002E-6</v>
      </c>
      <c r="I80">
        <v>9.6046399999999996E-4</v>
      </c>
      <c r="J80">
        <v>9.6046399999999996E-4</v>
      </c>
      <c r="L80" s="1">
        <v>2.1699999999999999E-8</v>
      </c>
      <c r="M80" s="1">
        <v>-4.5900000000000001E-8</v>
      </c>
      <c r="N80" s="1">
        <v>5.7900000000000002E-8</v>
      </c>
      <c r="O80" s="1">
        <v>5.7900000000000002E-8</v>
      </c>
      <c r="Q80">
        <f t="shared" si="5"/>
        <v>-1.5976899999999999E-5</v>
      </c>
      <c r="R80">
        <f t="shared" si="5"/>
        <v>7.0997E-6</v>
      </c>
      <c r="S80">
        <f t="shared" si="5"/>
        <v>-9.6041589999999993E-4</v>
      </c>
      <c r="T80">
        <f t="shared" si="4"/>
        <v>-9.6041369999999994E-4</v>
      </c>
      <c r="V80">
        <f t="shared" si="7"/>
        <v>1.3999999999999993E-9</v>
      </c>
      <c r="W80">
        <f t="shared" si="6"/>
        <v>-4.3999999999999997E-9</v>
      </c>
      <c r="X80">
        <f t="shared" si="6"/>
        <v>-9.8000000000000017E-9</v>
      </c>
      <c r="Y80">
        <f t="shared" si="6"/>
        <v>-7.6000000000000019E-9</v>
      </c>
    </row>
    <row r="81" spans="1:25" x14ac:dyDescent="0.2">
      <c r="A81" t="s">
        <v>85</v>
      </c>
      <c r="B81" s="1">
        <v>1.96E-8</v>
      </c>
      <c r="C81" s="1">
        <v>-4.3900000000000003E-8</v>
      </c>
      <c r="D81" s="1">
        <v>5.1900000000000002E-8</v>
      </c>
      <c r="E81" s="1">
        <v>5.1900000000000002E-8</v>
      </c>
      <c r="G81" s="1">
        <v>5.2199999999999998E-8</v>
      </c>
      <c r="H81">
        <v>-2.6199999999999999E-7</v>
      </c>
      <c r="I81" s="1">
        <v>2.0800000000000001E-7</v>
      </c>
      <c r="J81">
        <v>2.6199999999999999E-7</v>
      </c>
      <c r="L81" s="1">
        <v>2.3499999999999999E-8</v>
      </c>
      <c r="M81" s="1">
        <v>-5.3699999999999998E-8</v>
      </c>
      <c r="N81">
        <v>4.9999999999999998E-8</v>
      </c>
      <c r="O81" s="1">
        <v>5.3699999999999998E-8</v>
      </c>
      <c r="Q81">
        <f t="shared" si="5"/>
        <v>-3.2600000000000001E-8</v>
      </c>
      <c r="R81">
        <f t="shared" si="5"/>
        <v>2.1809999999999997E-7</v>
      </c>
      <c r="S81">
        <f t="shared" si="5"/>
        <v>-1.561E-7</v>
      </c>
      <c r="T81">
        <f t="shared" si="4"/>
        <v>-2.1009999999999998E-7</v>
      </c>
      <c r="V81">
        <f t="shared" si="7"/>
        <v>-3.8999999999999985E-9</v>
      </c>
      <c r="W81">
        <f t="shared" si="6"/>
        <v>9.7999999999999951E-9</v>
      </c>
      <c r="X81">
        <f t="shared" si="6"/>
        <v>1.9000000000000038E-9</v>
      </c>
      <c r="Y81">
        <f t="shared" si="6"/>
        <v>-1.7999999999999963E-9</v>
      </c>
    </row>
    <row r="82" spans="1:25" x14ac:dyDescent="0.2">
      <c r="A82" t="s">
        <v>86</v>
      </c>
      <c r="B82" s="1">
        <v>2.25E-8</v>
      </c>
      <c r="C82" s="1">
        <v>-5.2399999999999999E-8</v>
      </c>
      <c r="D82" s="1">
        <v>4.7799999999999998E-8</v>
      </c>
      <c r="E82" s="1">
        <v>5.2399999999999999E-8</v>
      </c>
      <c r="G82" s="1">
        <v>2.36E-7</v>
      </c>
      <c r="H82" s="1">
        <v>-1.0300000000000001E-6</v>
      </c>
      <c r="I82" s="1">
        <v>3.8199999999999998E-6</v>
      </c>
      <c r="J82" s="1">
        <v>3.8199999999999998E-6</v>
      </c>
      <c r="L82" s="1">
        <v>1.9700000000000001E-8</v>
      </c>
      <c r="M82" s="1">
        <v>-4.9700000000000002E-8</v>
      </c>
      <c r="N82" s="1">
        <v>4.8499999999999998E-8</v>
      </c>
      <c r="O82" s="1">
        <v>4.9700000000000002E-8</v>
      </c>
      <c r="Q82">
        <f t="shared" si="5"/>
        <v>-2.135E-7</v>
      </c>
      <c r="R82">
        <f t="shared" si="5"/>
        <v>9.7760000000000018E-7</v>
      </c>
      <c r="S82">
        <f t="shared" si="5"/>
        <v>-3.7721999999999996E-6</v>
      </c>
      <c r="T82">
        <f t="shared" si="4"/>
        <v>-3.7675999999999997E-6</v>
      </c>
      <c r="V82">
        <f t="shared" si="7"/>
        <v>2.7999999999999986E-9</v>
      </c>
      <c r="W82">
        <f t="shared" si="6"/>
        <v>-2.6999999999999977E-9</v>
      </c>
      <c r="X82">
        <f t="shared" si="6"/>
        <v>-6.9999999999999965E-10</v>
      </c>
      <c r="Y82">
        <f t="shared" si="6"/>
        <v>2.6999999999999977E-9</v>
      </c>
    </row>
    <row r="83" spans="1:25" x14ac:dyDescent="0.2">
      <c r="A83" t="s">
        <v>87</v>
      </c>
      <c r="B83" s="1">
        <v>1.99E-8</v>
      </c>
      <c r="C83" s="1">
        <v>-5.6400000000000002E-8</v>
      </c>
      <c r="D83" s="1">
        <v>3.4300000000000003E-8</v>
      </c>
      <c r="E83" s="1">
        <v>5.6400000000000002E-8</v>
      </c>
      <c r="G83" s="1">
        <v>4.6199999999999998E-7</v>
      </c>
      <c r="H83">
        <v>-3.3739999999999998E-6</v>
      </c>
      <c r="I83" s="1">
        <v>1.4300000000000001E-6</v>
      </c>
      <c r="J83">
        <v>3.3739999999999998E-6</v>
      </c>
      <c r="L83" s="1">
        <v>2.0500000000000002E-8</v>
      </c>
      <c r="M83" s="1">
        <v>-5.0600000000000003E-8</v>
      </c>
      <c r="N83" s="1">
        <v>4.6199999999999997E-8</v>
      </c>
      <c r="O83" s="1">
        <v>5.0600000000000003E-8</v>
      </c>
      <c r="Q83">
        <f t="shared" si="5"/>
        <v>-4.4209999999999997E-7</v>
      </c>
      <c r="R83">
        <f t="shared" si="5"/>
        <v>3.3175999999999998E-6</v>
      </c>
      <c r="S83">
        <f t="shared" si="5"/>
        <v>-1.3957E-6</v>
      </c>
      <c r="T83">
        <f t="shared" si="4"/>
        <v>-3.3175999999999998E-6</v>
      </c>
      <c r="V83">
        <f t="shared" si="7"/>
        <v>-6.0000000000000206E-10</v>
      </c>
      <c r="W83">
        <f t="shared" si="6"/>
        <v>-5.799999999999999E-9</v>
      </c>
      <c r="X83">
        <f t="shared" si="6"/>
        <v>-1.1899999999999994E-8</v>
      </c>
      <c r="Y83">
        <f t="shared" si="6"/>
        <v>5.799999999999999E-9</v>
      </c>
    </row>
    <row r="84" spans="1:25" x14ac:dyDescent="0.2">
      <c r="A84" t="s">
        <v>88</v>
      </c>
      <c r="B84">
        <v>0</v>
      </c>
      <c r="C84">
        <v>0</v>
      </c>
      <c r="D84">
        <v>0</v>
      </c>
      <c r="E84">
        <v>0</v>
      </c>
      <c r="G84">
        <v>1.3000000000000001E-8</v>
      </c>
      <c r="H84" s="1">
        <v>-5.4499999999999998E-8</v>
      </c>
      <c r="I84" s="1">
        <v>5.0600000000000003E-8</v>
      </c>
      <c r="J84" s="1">
        <v>5.4499999999999998E-8</v>
      </c>
      <c r="L84">
        <v>1.3000000000000001E-8</v>
      </c>
      <c r="M84" s="1">
        <v>-5.4499999999999998E-8</v>
      </c>
      <c r="N84" s="1">
        <v>5.0600000000000003E-8</v>
      </c>
      <c r="O84" s="1">
        <v>5.4499999999999998E-8</v>
      </c>
      <c r="Q84">
        <f t="shared" si="5"/>
        <v>-1.3000000000000001E-8</v>
      </c>
      <c r="R84">
        <f t="shared" si="5"/>
        <v>5.4499999999999998E-8</v>
      </c>
      <c r="S84">
        <f t="shared" si="5"/>
        <v>-5.0600000000000003E-8</v>
      </c>
      <c r="T84">
        <f t="shared" si="4"/>
        <v>-5.4499999999999998E-8</v>
      </c>
      <c r="V84">
        <f t="shared" si="7"/>
        <v>-1.3000000000000001E-8</v>
      </c>
      <c r="W84">
        <f t="shared" si="6"/>
        <v>5.4499999999999998E-8</v>
      </c>
      <c r="X84">
        <f t="shared" si="6"/>
        <v>-5.0600000000000003E-8</v>
      </c>
      <c r="Y84">
        <f t="shared" si="6"/>
        <v>-5.4499999999999998E-8</v>
      </c>
    </row>
    <row r="85" spans="1:25" x14ac:dyDescent="0.2">
      <c r="A85" t="s">
        <v>89</v>
      </c>
      <c r="B85">
        <v>0</v>
      </c>
      <c r="C85">
        <v>0</v>
      </c>
      <c r="D85">
        <v>0</v>
      </c>
      <c r="E85">
        <v>0</v>
      </c>
      <c r="G85">
        <v>0</v>
      </c>
      <c r="H85">
        <v>0</v>
      </c>
      <c r="I85">
        <v>0</v>
      </c>
      <c r="J85">
        <v>0</v>
      </c>
      <c r="L85">
        <v>0</v>
      </c>
      <c r="M85">
        <v>0</v>
      </c>
      <c r="N85">
        <v>0</v>
      </c>
      <c r="O85">
        <v>0</v>
      </c>
      <c r="Q85">
        <f t="shared" si="5"/>
        <v>0</v>
      </c>
      <c r="R85">
        <f t="shared" si="5"/>
        <v>0</v>
      </c>
      <c r="S85">
        <f t="shared" si="5"/>
        <v>0</v>
      </c>
      <c r="T85">
        <f t="shared" si="4"/>
        <v>0</v>
      </c>
      <c r="V85">
        <f t="shared" si="7"/>
        <v>0</v>
      </c>
      <c r="W85">
        <f t="shared" si="6"/>
        <v>0</v>
      </c>
      <c r="X85">
        <f t="shared" si="6"/>
        <v>0</v>
      </c>
      <c r="Y85">
        <f t="shared" si="6"/>
        <v>0</v>
      </c>
    </row>
    <row r="86" spans="1:25" x14ac:dyDescent="0.2">
      <c r="A86" t="s">
        <v>90</v>
      </c>
      <c r="B86" s="1">
        <v>2.1299999999999999E-8</v>
      </c>
      <c r="C86" s="1">
        <v>-5.3099999999999999E-8</v>
      </c>
      <c r="D86">
        <v>4.6000000000000002E-8</v>
      </c>
      <c r="E86" s="1">
        <v>5.3099999999999999E-8</v>
      </c>
      <c r="G86">
        <v>1.6568900000000001E-4</v>
      </c>
      <c r="H86">
        <v>-1.219808E-3</v>
      </c>
      <c r="I86">
        <v>1.1833410000000001E-3</v>
      </c>
      <c r="J86">
        <v>1.219808E-3</v>
      </c>
      <c r="L86" s="1">
        <v>2.2099999999999999E-8</v>
      </c>
      <c r="M86" s="1">
        <v>-5.2800000000000003E-8</v>
      </c>
      <c r="N86" s="1">
        <v>4.73E-8</v>
      </c>
      <c r="O86" s="1">
        <v>5.2800000000000003E-8</v>
      </c>
      <c r="Q86">
        <f t="shared" si="5"/>
        <v>-1.6566770000000001E-4</v>
      </c>
      <c r="R86">
        <f t="shared" si="5"/>
        <v>1.2197549000000001E-3</v>
      </c>
      <c r="S86">
        <f t="shared" si="5"/>
        <v>-1.183295E-3</v>
      </c>
      <c r="T86">
        <f t="shared" si="4"/>
        <v>-1.2197549000000001E-3</v>
      </c>
      <c r="V86">
        <f t="shared" si="7"/>
        <v>-8.0000000000000055E-10</v>
      </c>
      <c r="W86">
        <f t="shared" si="6"/>
        <v>-2.9999999999999607E-10</v>
      </c>
      <c r="X86">
        <f t="shared" si="6"/>
        <v>-1.2999999999999984E-9</v>
      </c>
      <c r="Y86">
        <f t="shared" si="6"/>
        <v>2.9999999999999607E-10</v>
      </c>
    </row>
    <row r="87" spans="1:25" x14ac:dyDescent="0.2">
      <c r="A87" t="s">
        <v>91</v>
      </c>
      <c r="B87" s="1">
        <v>2.0899999999999999E-8</v>
      </c>
      <c r="C87" s="1">
        <v>-5.0500000000000002E-8</v>
      </c>
      <c r="D87" s="1">
        <v>4.3700000000000001E-8</v>
      </c>
      <c r="E87" s="1">
        <v>5.0500000000000002E-8</v>
      </c>
      <c r="G87">
        <v>1.4456399999999999E-4</v>
      </c>
      <c r="H87">
        <v>-1.242574E-3</v>
      </c>
      <c r="I87">
        <v>9.6409299999999996E-4</v>
      </c>
      <c r="J87">
        <v>1.242574E-3</v>
      </c>
      <c r="L87" s="1">
        <v>2.33E-8</v>
      </c>
      <c r="M87" s="1">
        <v>-5.0699999999999997E-8</v>
      </c>
      <c r="N87" s="1">
        <v>5.54E-8</v>
      </c>
      <c r="O87" s="1">
        <v>5.54E-8</v>
      </c>
      <c r="Q87">
        <f t="shared" si="5"/>
        <v>-1.445431E-4</v>
      </c>
      <c r="R87">
        <f t="shared" si="5"/>
        <v>1.2425234999999999E-3</v>
      </c>
      <c r="S87">
        <f t="shared" si="5"/>
        <v>-9.6404929999999991E-4</v>
      </c>
      <c r="T87">
        <f t="shared" si="4"/>
        <v>-1.2425234999999999E-3</v>
      </c>
      <c r="V87">
        <f t="shared" si="7"/>
        <v>-2.4000000000000016E-9</v>
      </c>
      <c r="W87">
        <f t="shared" si="6"/>
        <v>1.9999999999999517E-10</v>
      </c>
      <c r="X87">
        <f t="shared" si="6"/>
        <v>-1.1699999999999999E-8</v>
      </c>
      <c r="Y87">
        <f t="shared" si="6"/>
        <v>-4.8999999999999976E-9</v>
      </c>
    </row>
    <row r="88" spans="1:25" x14ac:dyDescent="0.2">
      <c r="A88" t="s">
        <v>92</v>
      </c>
      <c r="B88" s="1">
        <v>2.2399999999999999E-8</v>
      </c>
      <c r="C88">
        <v>-5.1E-8</v>
      </c>
      <c r="D88" s="1">
        <v>4.2699999999999999E-8</v>
      </c>
      <c r="E88">
        <v>5.1E-8</v>
      </c>
      <c r="G88">
        <v>1.3809599999999999E-4</v>
      </c>
      <c r="H88">
        <v>-1.3266339999999999E-3</v>
      </c>
      <c r="I88">
        <v>8.50919E-4</v>
      </c>
      <c r="J88">
        <v>1.3266339999999999E-3</v>
      </c>
      <c r="L88" s="1">
        <v>2.29E-8</v>
      </c>
      <c r="M88">
        <v>-4.8E-8</v>
      </c>
      <c r="N88" s="1">
        <v>4.9600000000000001E-8</v>
      </c>
      <c r="O88" s="1">
        <v>4.9600000000000001E-8</v>
      </c>
      <c r="Q88">
        <f t="shared" si="5"/>
        <v>-1.3807359999999999E-4</v>
      </c>
      <c r="R88">
        <f t="shared" si="5"/>
        <v>1.3265829999999999E-3</v>
      </c>
      <c r="S88">
        <f t="shared" si="5"/>
        <v>-8.5087629999999997E-4</v>
      </c>
      <c r="T88">
        <f t="shared" si="4"/>
        <v>-1.3265829999999999E-3</v>
      </c>
      <c r="V88">
        <f t="shared" si="7"/>
        <v>-5.0000000000000117E-10</v>
      </c>
      <c r="W88">
        <f t="shared" si="6"/>
        <v>-3.0000000000000004E-9</v>
      </c>
      <c r="X88">
        <f t="shared" si="6"/>
        <v>-6.9000000000000022E-9</v>
      </c>
      <c r="Y88">
        <f t="shared" si="6"/>
        <v>1.3999999999999993E-9</v>
      </c>
    </row>
    <row r="89" spans="1:25" x14ac:dyDescent="0.2">
      <c r="A89" t="s">
        <v>93</v>
      </c>
      <c r="B89">
        <v>2.1999999999999998E-8</v>
      </c>
      <c r="C89" s="1">
        <v>-5.0400000000000001E-8</v>
      </c>
      <c r="D89" s="1">
        <v>5.69E-8</v>
      </c>
      <c r="E89" s="1">
        <v>5.69E-8</v>
      </c>
      <c r="G89">
        <v>1.30025E-4</v>
      </c>
      <c r="H89">
        <v>-1.316834E-3</v>
      </c>
      <c r="I89">
        <v>1.030806E-3</v>
      </c>
      <c r="J89">
        <v>1.316834E-3</v>
      </c>
      <c r="L89" s="1">
        <v>1.9399999999999998E-8</v>
      </c>
      <c r="M89" s="1">
        <v>-4.0900000000000002E-8</v>
      </c>
      <c r="N89" s="1">
        <v>4.5900000000000001E-8</v>
      </c>
      <c r="O89" s="1">
        <v>4.5900000000000001E-8</v>
      </c>
      <c r="Q89">
        <f t="shared" si="5"/>
        <v>-1.3000300000000001E-4</v>
      </c>
      <c r="R89">
        <f t="shared" si="5"/>
        <v>1.3167836E-3</v>
      </c>
      <c r="S89">
        <f t="shared" si="5"/>
        <v>-1.0307490999999999E-3</v>
      </c>
      <c r="T89">
        <f t="shared" si="4"/>
        <v>-1.3167770999999999E-3</v>
      </c>
      <c r="V89">
        <f t="shared" si="7"/>
        <v>2.6000000000000001E-9</v>
      </c>
      <c r="W89">
        <f t="shared" si="6"/>
        <v>-9.499999999999999E-9</v>
      </c>
      <c r="X89">
        <f t="shared" si="6"/>
        <v>1.0999999999999999E-8</v>
      </c>
      <c r="Y89">
        <f t="shared" si="6"/>
        <v>1.0999999999999999E-8</v>
      </c>
    </row>
    <row r="90" spans="1:25" x14ac:dyDescent="0.2">
      <c r="C90" s="1"/>
      <c r="D90" s="1"/>
      <c r="E90" s="1"/>
      <c r="L90" s="1"/>
      <c r="M90" s="1"/>
      <c r="N90" s="1"/>
      <c r="O90" s="1"/>
    </row>
    <row r="91" spans="1:25" x14ac:dyDescent="0.2">
      <c r="A91" t="s">
        <v>4</v>
      </c>
      <c r="B91" s="1">
        <v>1.9700000000000001E-8</v>
      </c>
      <c r="C91" s="1">
        <v>-4.6499999999999999E-8</v>
      </c>
      <c r="D91" s="1">
        <v>5.5500000000000001E-8</v>
      </c>
      <c r="E91" s="1">
        <v>5.5500000000000001E-8</v>
      </c>
      <c r="G91" s="1">
        <v>4.7500000000000003E-5</v>
      </c>
      <c r="H91">
        <v>-2.8461600000000001E-4</v>
      </c>
      <c r="I91">
        <v>1.8997700000000001E-3</v>
      </c>
      <c r="J91">
        <v>1.8997700000000001E-3</v>
      </c>
      <c r="L91" s="1">
        <v>1.9700000000000001E-8</v>
      </c>
      <c r="M91" s="1">
        <v>-4.6499999999999999E-8</v>
      </c>
      <c r="N91" s="1">
        <v>5.5500000000000001E-8</v>
      </c>
      <c r="O91" s="1">
        <v>5.5500000000000001E-8</v>
      </c>
      <c r="Q91">
        <f t="shared" si="0"/>
        <v>-4.74803E-5</v>
      </c>
      <c r="R91">
        <f t="shared" si="0"/>
        <v>2.8456950000000004E-4</v>
      </c>
      <c r="S91">
        <f t="shared" si="0"/>
        <v>-1.8997145E-3</v>
      </c>
      <c r="T91">
        <f t="shared" si="0"/>
        <v>-1.8997145E-3</v>
      </c>
      <c r="V91">
        <f t="shared" si="1"/>
        <v>0</v>
      </c>
      <c r="W91">
        <f t="shared" si="1"/>
        <v>0</v>
      </c>
      <c r="X91">
        <f t="shared" si="1"/>
        <v>0</v>
      </c>
      <c r="Y91">
        <f t="shared" si="1"/>
        <v>0</v>
      </c>
    </row>
    <row r="92" spans="1:25" x14ac:dyDescent="0.2">
      <c r="A92" t="s">
        <v>5</v>
      </c>
      <c r="B92" s="1">
        <v>2.2099999999999999E-8</v>
      </c>
      <c r="C92" s="1">
        <v>-4.7699999999999997E-8</v>
      </c>
      <c r="D92" s="1">
        <v>4.7899999999999999E-8</v>
      </c>
      <c r="E92" s="1">
        <v>4.7899999999999999E-8</v>
      </c>
      <c r="G92">
        <v>4428998.5240000002</v>
      </c>
      <c r="H92">
        <v>-77369885.760000005</v>
      </c>
      <c r="I92">
        <v>33319629.620000001</v>
      </c>
      <c r="J92">
        <v>77369885.760000005</v>
      </c>
      <c r="L92" s="1">
        <v>156000000000000</v>
      </c>
      <c r="M92">
        <v>-5453083511</v>
      </c>
      <c r="N92" s="1">
        <v>5350000000000000</v>
      </c>
      <c r="O92" s="1">
        <v>5350000000000000</v>
      </c>
      <c r="Q92">
        <f t="shared" si="0"/>
        <v>-4428998.5239999779</v>
      </c>
      <c r="R92">
        <f t="shared" si="0"/>
        <v>77369885.759999961</v>
      </c>
      <c r="S92">
        <f t="shared" si="0"/>
        <v>-33319629.619999953</v>
      </c>
      <c r="T92">
        <f t="shared" si="0"/>
        <v>-77369885.759999961</v>
      </c>
      <c r="V92">
        <f t="shared" si="1"/>
        <v>-156000000000000</v>
      </c>
      <c r="W92">
        <f t="shared" si="1"/>
        <v>5453083511</v>
      </c>
      <c r="X92">
        <f t="shared" si="1"/>
        <v>-5350000000000000</v>
      </c>
      <c r="Y92">
        <f t="shared" si="1"/>
        <v>-5350000000000000</v>
      </c>
    </row>
    <row r="93" spans="1:25" x14ac:dyDescent="0.2">
      <c r="A93" t="s">
        <v>6</v>
      </c>
      <c r="B93">
        <v>2.1999999999999998E-8</v>
      </c>
      <c r="C93" s="1">
        <v>-5.69E-8</v>
      </c>
      <c r="D93" s="1">
        <v>5.62E-8</v>
      </c>
      <c r="E93" s="1">
        <v>5.69E-8</v>
      </c>
      <c r="G93">
        <v>2417149.557</v>
      </c>
      <c r="H93">
        <v>-23967558.73</v>
      </c>
      <c r="I93">
        <v>36285142.810000002</v>
      </c>
      <c r="J93">
        <v>36285142.810000002</v>
      </c>
      <c r="L93" s="1">
        <v>4090000000000</v>
      </c>
      <c r="M93" s="1">
        <v>-604000000000</v>
      </c>
      <c r="N93" s="1">
        <v>41400000000000</v>
      </c>
      <c r="O93" s="1">
        <v>41400000000000</v>
      </c>
      <c r="Q93">
        <f t="shared" si="0"/>
        <v>-2417149.5569999781</v>
      </c>
      <c r="R93">
        <f t="shared" si="0"/>
        <v>23967558.729999945</v>
      </c>
      <c r="S93">
        <f t="shared" si="0"/>
        <v>-36285142.809999943</v>
      </c>
      <c r="T93">
        <f t="shared" si="0"/>
        <v>-36285142.809999943</v>
      </c>
      <c r="V93">
        <f t="shared" si="1"/>
        <v>-4090000000000</v>
      </c>
      <c r="W93">
        <f t="shared" si="1"/>
        <v>604000000000</v>
      </c>
      <c r="X93">
        <f t="shared" si="1"/>
        <v>-41400000000000</v>
      </c>
      <c r="Y93">
        <f t="shared" si="1"/>
        <v>-41400000000000</v>
      </c>
    </row>
    <row r="94" spans="1:25" x14ac:dyDescent="0.2">
      <c r="A94" t="s">
        <v>7</v>
      </c>
      <c r="B94" s="1">
        <v>2.2600000000000001E-8</v>
      </c>
      <c r="C94">
        <v>-4.8E-8</v>
      </c>
      <c r="D94" s="1">
        <v>5.4900000000000002E-8</v>
      </c>
      <c r="E94" s="1">
        <v>5.4900000000000002E-8</v>
      </c>
      <c r="G94" s="1">
        <v>2.2600000000000001E-8</v>
      </c>
      <c r="H94">
        <v>-4.8E-8</v>
      </c>
      <c r="I94" s="1">
        <v>5.4900000000000002E-8</v>
      </c>
      <c r="J94" s="1">
        <v>5.4900000000000002E-8</v>
      </c>
      <c r="L94" s="1">
        <v>2.2600000000000001E-8</v>
      </c>
      <c r="M94">
        <v>-4.8E-8</v>
      </c>
      <c r="N94" s="1">
        <v>5.4900000000000002E-8</v>
      </c>
      <c r="O94" s="1">
        <v>5.4900000000000002E-8</v>
      </c>
      <c r="Q94">
        <f t="shared" si="0"/>
        <v>0</v>
      </c>
      <c r="R94">
        <f t="shared" si="0"/>
        <v>0</v>
      </c>
      <c r="S94">
        <f t="shared" si="0"/>
        <v>0</v>
      </c>
      <c r="T94">
        <f t="shared" si="0"/>
        <v>0</v>
      </c>
      <c r="V94">
        <f t="shared" si="1"/>
        <v>0</v>
      </c>
      <c r="W94">
        <f t="shared" si="1"/>
        <v>0</v>
      </c>
      <c r="X94">
        <f t="shared" si="1"/>
        <v>0</v>
      </c>
      <c r="Y94">
        <f t="shared" si="1"/>
        <v>0</v>
      </c>
    </row>
    <row r="95" spans="1:25" x14ac:dyDescent="0.2">
      <c r="A95" t="s">
        <v>8</v>
      </c>
      <c r="B95" s="1">
        <v>2.2399999999999999E-8</v>
      </c>
      <c r="C95" s="1">
        <v>-5.4900000000000002E-8</v>
      </c>
      <c r="D95" s="1">
        <v>5.4499999999999998E-8</v>
      </c>
      <c r="E95" s="1">
        <v>5.4900000000000002E-8</v>
      </c>
      <c r="G95" s="1">
        <v>2.0899999999999999E-6</v>
      </c>
      <c r="H95" s="1">
        <v>-1.19E-5</v>
      </c>
      <c r="I95" s="1">
        <v>2.76E-5</v>
      </c>
      <c r="J95" s="1">
        <v>2.76E-5</v>
      </c>
      <c r="L95" s="1">
        <v>2.2399999999999999E-8</v>
      </c>
      <c r="M95" s="1">
        <v>-5.4900000000000002E-8</v>
      </c>
      <c r="N95" s="1">
        <v>5.4499999999999998E-8</v>
      </c>
      <c r="O95" s="1">
        <v>5.4900000000000002E-8</v>
      </c>
      <c r="Q95">
        <f t="shared" si="0"/>
        <v>-2.0675999999999999E-6</v>
      </c>
      <c r="R95">
        <f t="shared" si="0"/>
        <v>1.1845099999999999E-5</v>
      </c>
      <c r="S95">
        <f t="shared" si="0"/>
        <v>-2.7545499999999999E-5</v>
      </c>
      <c r="T95">
        <f t="shared" si="0"/>
        <v>-2.7545100000000002E-5</v>
      </c>
      <c r="V95">
        <f t="shared" si="1"/>
        <v>0</v>
      </c>
      <c r="W95">
        <f t="shared" si="1"/>
        <v>0</v>
      </c>
      <c r="X95">
        <f t="shared" si="1"/>
        <v>0</v>
      </c>
      <c r="Y95">
        <f t="shared" si="1"/>
        <v>0</v>
      </c>
    </row>
    <row r="96" spans="1:25" x14ac:dyDescent="0.2">
      <c r="A96" t="s">
        <v>9</v>
      </c>
      <c r="B96" s="1">
        <v>2.2600000000000001E-8</v>
      </c>
      <c r="C96" s="1">
        <v>-5.6599999999999997E-8</v>
      </c>
      <c r="D96" s="1">
        <v>3.8199999999999998E-8</v>
      </c>
      <c r="E96" s="1">
        <v>5.6599999999999997E-8</v>
      </c>
      <c r="G96">
        <v>347252.20059999998</v>
      </c>
      <c r="H96">
        <v>-13981115.109999999</v>
      </c>
      <c r="I96">
        <v>1773101.6839999999</v>
      </c>
      <c r="J96">
        <v>13981115.109999999</v>
      </c>
      <c r="L96">
        <v>19860761543</v>
      </c>
      <c r="M96" s="1">
        <v>-262000000000</v>
      </c>
      <c r="N96">
        <v>6784.2908239999997</v>
      </c>
      <c r="O96" s="1">
        <v>262000000000</v>
      </c>
      <c r="Q96">
        <f t="shared" si="0"/>
        <v>-347252.2005999774</v>
      </c>
      <c r="R96">
        <f t="shared" si="0"/>
        <v>13981115.109999944</v>
      </c>
      <c r="S96">
        <f t="shared" si="0"/>
        <v>-1773101.6839999617</v>
      </c>
      <c r="T96">
        <f t="shared" si="0"/>
        <v>-13981115.109999944</v>
      </c>
      <c r="V96">
        <f t="shared" si="1"/>
        <v>-19860761543</v>
      </c>
      <c r="W96">
        <f t="shared" si="1"/>
        <v>262000000000</v>
      </c>
      <c r="X96">
        <f t="shared" si="1"/>
        <v>-6784.2908239618</v>
      </c>
      <c r="Y96">
        <f t="shared" si="1"/>
        <v>-262000000000</v>
      </c>
    </row>
    <row r="97" spans="1:25" x14ac:dyDescent="0.2">
      <c r="A97" t="s">
        <v>10</v>
      </c>
      <c r="B97" s="1">
        <v>2.3099999999999998E-8</v>
      </c>
      <c r="C97" s="1">
        <v>-5.7299999999999997E-8</v>
      </c>
      <c r="D97" s="1">
        <v>4.4600000000000002E-8</v>
      </c>
      <c r="E97" s="1">
        <v>5.7299999999999997E-8</v>
      </c>
      <c r="G97">
        <v>249962.19339999999</v>
      </c>
      <c r="H97">
        <v>-2024652.7069999999</v>
      </c>
      <c r="I97">
        <v>8621961.6610000003</v>
      </c>
      <c r="J97">
        <v>8621961.6610000003</v>
      </c>
      <c r="L97">
        <v>7436251979</v>
      </c>
      <c r="M97" s="1">
        <v>-126000000000</v>
      </c>
      <c r="N97" s="1">
        <v>157000000000</v>
      </c>
      <c r="O97" s="1">
        <v>157000000000</v>
      </c>
      <c r="Q97">
        <f t="shared" si="0"/>
        <v>-249962.19339997688</v>
      </c>
      <c r="R97">
        <f t="shared" si="0"/>
        <v>2024652.7069999427</v>
      </c>
      <c r="S97">
        <f t="shared" si="0"/>
        <v>-8621961.6609999556</v>
      </c>
      <c r="T97">
        <f t="shared" si="0"/>
        <v>-8621961.6609999426</v>
      </c>
      <c r="V97">
        <f t="shared" si="1"/>
        <v>-7436251979</v>
      </c>
      <c r="W97">
        <f t="shared" si="1"/>
        <v>126000000000</v>
      </c>
      <c r="X97">
        <f t="shared" si="1"/>
        <v>-157000000000</v>
      </c>
      <c r="Y97">
        <f t="shared" si="1"/>
        <v>-157000000000</v>
      </c>
    </row>
    <row r="98" spans="1:25" x14ac:dyDescent="0.2">
      <c r="A98" t="s">
        <v>11</v>
      </c>
      <c r="B98" s="1">
        <v>2.25E-8</v>
      </c>
      <c r="C98">
        <v>-4.8E-8</v>
      </c>
      <c r="D98" s="1">
        <v>5.17E-8</v>
      </c>
      <c r="E98" s="1">
        <v>5.17E-8</v>
      </c>
      <c r="G98">
        <v>47277.78037</v>
      </c>
      <c r="H98">
        <v>-241487.15659999999</v>
      </c>
      <c r="I98">
        <v>2057764.7520000001</v>
      </c>
      <c r="J98">
        <v>2057764.7520000001</v>
      </c>
      <c r="L98">
        <v>1694925454</v>
      </c>
      <c r="M98">
        <v>-36442318475</v>
      </c>
      <c r="N98">
        <v>2.0572810000000002E-3</v>
      </c>
      <c r="O98">
        <v>36442318475</v>
      </c>
      <c r="Q98">
        <f t="shared" si="0"/>
        <v>-47277.780369977503</v>
      </c>
      <c r="R98">
        <f t="shared" si="0"/>
        <v>241487.156599952</v>
      </c>
      <c r="S98">
        <f t="shared" si="0"/>
        <v>-2057764.7519999484</v>
      </c>
      <c r="T98">
        <f t="shared" si="0"/>
        <v>-2057764.7519999484</v>
      </c>
      <c r="V98">
        <f t="shared" si="1"/>
        <v>-1694925454</v>
      </c>
      <c r="W98">
        <f t="shared" si="1"/>
        <v>36442318475</v>
      </c>
      <c r="X98">
        <f t="shared" si="1"/>
        <v>-2.0572293000000004E-3</v>
      </c>
      <c r="Y98">
        <f t="shared" si="1"/>
        <v>-36442318475</v>
      </c>
    </row>
    <row r="99" spans="1:25" x14ac:dyDescent="0.2">
      <c r="A99" t="s">
        <v>12</v>
      </c>
      <c r="B99" s="1">
        <v>2.5200000000000001E-8</v>
      </c>
      <c r="C99" s="1">
        <v>-5.7200000000000003E-8</v>
      </c>
      <c r="D99" s="1">
        <v>5.7100000000000002E-8</v>
      </c>
      <c r="E99" s="1">
        <v>5.7200000000000003E-8</v>
      </c>
      <c r="G99">
        <v>13365.705099999999</v>
      </c>
      <c r="H99">
        <v>-36000.98285</v>
      </c>
      <c r="I99">
        <v>174439.56690000001</v>
      </c>
      <c r="J99">
        <v>174439.56690000001</v>
      </c>
      <c r="L99">
        <v>123727101.90000001</v>
      </c>
      <c r="M99">
        <v>-2101364520</v>
      </c>
      <c r="N99">
        <v>2635582963</v>
      </c>
      <c r="O99">
        <v>2635582963</v>
      </c>
      <c r="Q99">
        <f t="shared" si="0"/>
        <v>-13365.705099974799</v>
      </c>
      <c r="R99">
        <f t="shared" si="0"/>
        <v>36000.982849942797</v>
      </c>
      <c r="S99">
        <f t="shared" si="0"/>
        <v>-174439.5668999429</v>
      </c>
      <c r="T99">
        <f t="shared" si="0"/>
        <v>-174439.56689994282</v>
      </c>
      <c r="V99">
        <f t="shared" si="1"/>
        <v>-123727101.89999998</v>
      </c>
      <c r="W99">
        <f t="shared" si="1"/>
        <v>2101364520</v>
      </c>
      <c r="X99">
        <f t="shared" si="1"/>
        <v>-2635582963</v>
      </c>
      <c r="Y99">
        <f t="shared" si="1"/>
        <v>-2635582963</v>
      </c>
    </row>
    <row r="100" spans="1:25" x14ac:dyDescent="0.2">
      <c r="A100" t="s">
        <v>13</v>
      </c>
      <c r="B100" s="1">
        <v>2.33E-8</v>
      </c>
      <c r="C100" s="1">
        <v>-5.5600000000000002E-8</v>
      </c>
      <c r="D100" s="1">
        <v>5.4499999999999998E-8</v>
      </c>
      <c r="E100" s="1">
        <v>5.5600000000000002E-8</v>
      </c>
      <c r="G100">
        <v>1072.388788</v>
      </c>
      <c r="H100">
        <v>-11622.5144</v>
      </c>
      <c r="I100">
        <v>11723.686019999999</v>
      </c>
      <c r="J100">
        <v>11723.686019999999</v>
      </c>
      <c r="L100">
        <v>1675447.3189999999</v>
      </c>
      <c r="M100">
        <v>-18077475.390000001</v>
      </c>
      <c r="N100">
        <v>19941970.969999999</v>
      </c>
      <c r="O100">
        <v>19941970.969999999</v>
      </c>
      <c r="Q100">
        <f t="shared" si="0"/>
        <v>-1072.3887879767001</v>
      </c>
      <c r="R100">
        <f t="shared" si="0"/>
        <v>11622.514399944401</v>
      </c>
      <c r="S100">
        <f t="shared" si="0"/>
        <v>-11723.686019945499</v>
      </c>
      <c r="T100">
        <f t="shared" si="0"/>
        <v>-11723.6860199444</v>
      </c>
      <c r="V100">
        <f t="shared" si="1"/>
        <v>-1675447.3189999766</v>
      </c>
      <c r="W100">
        <f t="shared" si="1"/>
        <v>18077475.389999945</v>
      </c>
      <c r="X100">
        <f t="shared" si="1"/>
        <v>-19941970.969999943</v>
      </c>
      <c r="Y100">
        <f t="shared" si="1"/>
        <v>-19941970.969999943</v>
      </c>
    </row>
    <row r="101" spans="1:25" x14ac:dyDescent="0.2">
      <c r="A101" t="s">
        <v>14</v>
      </c>
      <c r="B101" s="1">
        <v>1.77E-8</v>
      </c>
      <c r="C101" s="1">
        <v>-4.8200000000000001E-8</v>
      </c>
      <c r="D101" s="1">
        <v>3.7900000000000002E-8</v>
      </c>
      <c r="E101" s="1">
        <v>4.8200000000000001E-8</v>
      </c>
      <c r="G101" s="1">
        <v>1.9500000000000001E-7</v>
      </c>
      <c r="H101" s="1">
        <v>-4.4499999999999997E-6</v>
      </c>
      <c r="I101" s="1">
        <v>8.7700000000000003E-7</v>
      </c>
      <c r="J101" s="1">
        <v>4.4499999999999997E-6</v>
      </c>
      <c r="L101" s="1">
        <v>1.77E-8</v>
      </c>
      <c r="M101" s="1">
        <v>-4.8200000000000001E-8</v>
      </c>
      <c r="N101" s="1">
        <v>3.7900000000000002E-8</v>
      </c>
      <c r="O101" s="1">
        <v>4.8200000000000001E-8</v>
      </c>
      <c r="Q101">
        <f t="shared" si="0"/>
        <v>-1.7730000000000001E-7</v>
      </c>
      <c r="R101">
        <f t="shared" si="0"/>
        <v>4.4017999999999999E-6</v>
      </c>
      <c r="S101">
        <f t="shared" si="0"/>
        <v>-8.3910000000000004E-7</v>
      </c>
      <c r="T101">
        <f t="shared" si="0"/>
        <v>-4.4017999999999999E-6</v>
      </c>
      <c r="V101">
        <f t="shared" si="1"/>
        <v>0</v>
      </c>
      <c r="W101">
        <f t="shared" si="1"/>
        <v>0</v>
      </c>
      <c r="X101">
        <f t="shared" si="1"/>
        <v>0</v>
      </c>
      <c r="Y101">
        <f t="shared" si="1"/>
        <v>0</v>
      </c>
    </row>
    <row r="102" spans="1:25" x14ac:dyDescent="0.2">
      <c r="A102" t="s">
        <v>15</v>
      </c>
      <c r="B102">
        <v>2E-8</v>
      </c>
      <c r="C102" s="1">
        <v>-4.3200000000000003E-8</v>
      </c>
      <c r="D102" s="1">
        <v>4.6100000000000003E-8</v>
      </c>
      <c r="E102" s="1">
        <v>4.6100000000000003E-8</v>
      </c>
      <c r="G102" s="1">
        <v>1.3200000000000001E-6</v>
      </c>
      <c r="H102" s="1">
        <v>-1.9700000000000001E-5</v>
      </c>
      <c r="I102" s="1">
        <v>2.09E-5</v>
      </c>
      <c r="J102" s="1">
        <v>2.09E-5</v>
      </c>
      <c r="L102">
        <v>2E-8</v>
      </c>
      <c r="M102" s="1">
        <v>-4.3200000000000003E-8</v>
      </c>
      <c r="N102" s="1">
        <v>4.6100000000000003E-8</v>
      </c>
      <c r="O102" s="1">
        <v>4.6100000000000003E-8</v>
      </c>
      <c r="Q102">
        <f t="shared" si="0"/>
        <v>-1.3E-6</v>
      </c>
      <c r="R102">
        <f t="shared" si="0"/>
        <v>1.9656800000000001E-5</v>
      </c>
      <c r="S102">
        <f t="shared" si="0"/>
        <v>-2.08539E-5</v>
      </c>
      <c r="T102">
        <f t="shared" si="0"/>
        <v>-2.08539E-5</v>
      </c>
      <c r="V102">
        <f t="shared" si="1"/>
        <v>0</v>
      </c>
      <c r="W102">
        <f t="shared" si="1"/>
        <v>0</v>
      </c>
      <c r="X102">
        <f t="shared" si="1"/>
        <v>0</v>
      </c>
      <c r="Y102">
        <f t="shared" si="1"/>
        <v>0</v>
      </c>
    </row>
    <row r="103" spans="1:25" x14ac:dyDescent="0.2">
      <c r="A103" t="s">
        <v>16</v>
      </c>
      <c r="B103" s="1">
        <v>2.33E-8</v>
      </c>
      <c r="C103" s="1">
        <v>-5.2800000000000003E-8</v>
      </c>
      <c r="D103" s="1">
        <v>4.5699999999999999E-8</v>
      </c>
      <c r="E103" s="1">
        <v>5.2800000000000003E-8</v>
      </c>
      <c r="G103">
        <v>13.201028689999999</v>
      </c>
      <c r="H103">
        <v>-132.5018738</v>
      </c>
      <c r="I103">
        <v>264.69346530000001</v>
      </c>
      <c r="J103">
        <v>264.69346530000001</v>
      </c>
      <c r="L103">
        <v>27430.106319999999</v>
      </c>
      <c r="M103">
        <v>-846294.87710000004</v>
      </c>
      <c r="N103">
        <v>12.11529387</v>
      </c>
      <c r="O103">
        <v>846294.87710000004</v>
      </c>
      <c r="Q103">
        <f t="shared" si="0"/>
        <v>-13.201028666699999</v>
      </c>
      <c r="R103">
        <f t="shared" si="0"/>
        <v>132.50187374719999</v>
      </c>
      <c r="S103">
        <f t="shared" si="0"/>
        <v>-264.69346525430001</v>
      </c>
      <c r="T103">
        <f t="shared" si="0"/>
        <v>-264.69346524720004</v>
      </c>
      <c r="V103">
        <f t="shared" si="1"/>
        <v>-27430.106319976698</v>
      </c>
      <c r="W103">
        <f t="shared" si="1"/>
        <v>846294.87709994719</v>
      </c>
      <c r="X103">
        <f t="shared" si="1"/>
        <v>-12.1152938243</v>
      </c>
      <c r="Y103">
        <f t="shared" si="1"/>
        <v>-846294.87709994719</v>
      </c>
    </row>
    <row r="104" spans="1:25" x14ac:dyDescent="0.2">
      <c r="A104" t="s">
        <v>17</v>
      </c>
      <c r="B104" s="1">
        <v>2.0199999999999999E-8</v>
      </c>
      <c r="C104" s="1">
        <v>-4.2499999999999997E-8</v>
      </c>
      <c r="D104" s="1">
        <v>5.1399999999999997E-8</v>
      </c>
      <c r="E104" s="1">
        <v>5.1399999999999997E-8</v>
      </c>
      <c r="G104">
        <v>23.10515878</v>
      </c>
      <c r="H104">
        <v>-157.5266015</v>
      </c>
      <c r="I104">
        <v>683.7728151</v>
      </c>
      <c r="J104">
        <v>683.7728151</v>
      </c>
      <c r="L104">
        <v>68.938487390000006</v>
      </c>
      <c r="M104">
        <v>-3157.0079660000001</v>
      </c>
      <c r="N104">
        <v>100.78393459999999</v>
      </c>
      <c r="O104">
        <v>3157.0079660000001</v>
      </c>
      <c r="Q104">
        <f t="shared" si="0"/>
        <v>-23.105158759799998</v>
      </c>
      <c r="R104">
        <f t="shared" si="0"/>
        <v>157.52660145749999</v>
      </c>
      <c r="S104">
        <f t="shared" si="0"/>
        <v>-683.77281504860002</v>
      </c>
      <c r="T104">
        <f t="shared" si="0"/>
        <v>-683.77281504860002</v>
      </c>
      <c r="V104">
        <f t="shared" si="1"/>
        <v>-68.938487369800001</v>
      </c>
      <c r="W104">
        <f t="shared" si="1"/>
        <v>3157.0079659575003</v>
      </c>
      <c r="X104">
        <f t="shared" si="1"/>
        <v>-100.7839345486</v>
      </c>
      <c r="Y104">
        <f t="shared" si="1"/>
        <v>-3157.0079659486</v>
      </c>
    </row>
    <row r="105" spans="1:25" x14ac:dyDescent="0.2">
      <c r="A105" t="s">
        <v>18</v>
      </c>
      <c r="B105" s="1">
        <v>2.03E-8</v>
      </c>
      <c r="C105">
        <v>-5.2000000000000002E-8</v>
      </c>
      <c r="D105" s="1">
        <v>4.8900000000000001E-8</v>
      </c>
      <c r="E105">
        <v>5.2000000000000002E-8</v>
      </c>
      <c r="G105">
        <v>6.8318668459999996</v>
      </c>
      <c r="H105">
        <v>-268.95688430000001</v>
      </c>
      <c r="I105">
        <v>15.275589699999999</v>
      </c>
      <c r="J105">
        <v>268.95688430000001</v>
      </c>
      <c r="L105">
        <v>3.646532192</v>
      </c>
      <c r="M105">
        <v>-54.268705730000001</v>
      </c>
      <c r="N105">
        <v>49.699690310000001</v>
      </c>
      <c r="O105">
        <v>54.268705730000001</v>
      </c>
      <c r="Q105">
        <f t="shared" si="0"/>
        <v>-6.8318668256999997</v>
      </c>
      <c r="R105">
        <f t="shared" si="0"/>
        <v>268.95688424799999</v>
      </c>
      <c r="S105">
        <f t="shared" si="0"/>
        <v>-15.275589651099999</v>
      </c>
      <c r="T105">
        <f t="shared" si="0"/>
        <v>-268.95688424799999</v>
      </c>
      <c r="V105">
        <f t="shared" si="1"/>
        <v>-3.6465321717000001</v>
      </c>
      <c r="W105">
        <f t="shared" si="1"/>
        <v>54.268705678000003</v>
      </c>
      <c r="X105">
        <f t="shared" si="1"/>
        <v>-49.699690261100002</v>
      </c>
      <c r="Y105">
        <f t="shared" si="1"/>
        <v>-54.268705678000003</v>
      </c>
    </row>
    <row r="106" spans="1:25" x14ac:dyDescent="0.2">
      <c r="A106" t="s">
        <v>19</v>
      </c>
      <c r="B106">
        <v>2E-8</v>
      </c>
      <c r="C106" s="1">
        <v>-5.4599999999999999E-8</v>
      </c>
      <c r="D106" s="1">
        <v>5.4499999999999998E-8</v>
      </c>
      <c r="E106" s="1">
        <v>5.4599999999999999E-8</v>
      </c>
      <c r="G106">
        <v>0.27460485499999998</v>
      </c>
      <c r="H106">
        <v>-5.3731017659999996</v>
      </c>
      <c r="I106">
        <v>0.40305278500000002</v>
      </c>
      <c r="J106">
        <v>5.3731017659999996</v>
      </c>
      <c r="L106">
        <v>0.89330264100000001</v>
      </c>
      <c r="M106">
        <v>-28.072545430000002</v>
      </c>
      <c r="N106">
        <v>2.2431024900000001</v>
      </c>
      <c r="O106">
        <v>28.072545430000002</v>
      </c>
      <c r="Q106">
        <f t="shared" si="0"/>
        <v>-0.27460483499999999</v>
      </c>
      <c r="R106">
        <f t="shared" si="0"/>
        <v>5.3731017113999995</v>
      </c>
      <c r="S106">
        <f t="shared" si="0"/>
        <v>-0.40305273050000001</v>
      </c>
      <c r="T106">
        <f t="shared" si="0"/>
        <v>-5.3731017113999995</v>
      </c>
      <c r="V106">
        <f t="shared" si="1"/>
        <v>-0.89330262100000002</v>
      </c>
      <c r="W106">
        <f t="shared" si="1"/>
        <v>28.072545375400001</v>
      </c>
      <c r="X106">
        <f t="shared" si="1"/>
        <v>-2.2431024355</v>
      </c>
      <c r="Y106">
        <f t="shared" si="1"/>
        <v>-28.072545375400001</v>
      </c>
    </row>
    <row r="107" spans="1:25" x14ac:dyDescent="0.2">
      <c r="A107" t="s">
        <v>20</v>
      </c>
      <c r="B107" s="1">
        <v>2.0199999999999999E-8</v>
      </c>
      <c r="C107" s="1">
        <v>-4.66E-8</v>
      </c>
      <c r="D107" s="1">
        <v>4.8900000000000001E-8</v>
      </c>
      <c r="E107" s="1">
        <v>4.8900000000000001E-8</v>
      </c>
      <c r="G107">
        <v>1.077922547</v>
      </c>
      <c r="H107">
        <v>-3.3689186200000001</v>
      </c>
      <c r="I107">
        <v>24.939903180000002</v>
      </c>
      <c r="J107">
        <v>24.939903180000002</v>
      </c>
      <c r="L107">
        <v>0.55390453100000003</v>
      </c>
      <c r="M107">
        <v>-0.62311295499999997</v>
      </c>
      <c r="N107">
        <v>28.81796946</v>
      </c>
      <c r="O107">
        <v>28.81796946</v>
      </c>
      <c r="Q107">
        <f t="shared" si="0"/>
        <v>-1.0779225268000001</v>
      </c>
      <c r="R107">
        <f t="shared" si="0"/>
        <v>3.3689185734000002</v>
      </c>
      <c r="S107">
        <f t="shared" si="0"/>
        <v>-24.939903131100003</v>
      </c>
      <c r="T107">
        <f t="shared" si="0"/>
        <v>-24.939903131100003</v>
      </c>
      <c r="V107">
        <f t="shared" si="1"/>
        <v>-0.55390451080000003</v>
      </c>
      <c r="W107">
        <f t="shared" si="1"/>
        <v>0.6231129084</v>
      </c>
      <c r="X107">
        <f t="shared" si="1"/>
        <v>-28.817969411100002</v>
      </c>
      <c r="Y107">
        <f t="shared" si="1"/>
        <v>-28.817969411100002</v>
      </c>
    </row>
    <row r="108" spans="1:25" x14ac:dyDescent="0.2">
      <c r="A108" t="s">
        <v>21</v>
      </c>
      <c r="B108" s="1">
        <v>2.25E-8</v>
      </c>
      <c r="C108" s="1">
        <v>-5.6699999999999998E-8</v>
      </c>
      <c r="D108">
        <v>5.4E-8</v>
      </c>
      <c r="E108" s="1">
        <v>5.6699999999999998E-8</v>
      </c>
      <c r="G108">
        <v>7.8346817999999999E-2</v>
      </c>
      <c r="H108">
        <v>-1.361338199</v>
      </c>
      <c r="I108">
        <v>1.1530158850000001</v>
      </c>
      <c r="J108">
        <v>1.361338199</v>
      </c>
      <c r="L108">
        <v>4.6111638000000003E-2</v>
      </c>
      <c r="M108">
        <v>-1.7340728059999999</v>
      </c>
      <c r="N108">
        <v>0.216082631</v>
      </c>
      <c r="O108">
        <v>1.7340728059999999</v>
      </c>
      <c r="Q108">
        <f t="shared" si="0"/>
        <v>-7.8346795499999997E-2</v>
      </c>
      <c r="R108">
        <f t="shared" si="0"/>
        <v>1.3613381422999999</v>
      </c>
      <c r="S108">
        <f t="shared" si="0"/>
        <v>-1.153015831</v>
      </c>
      <c r="T108">
        <f t="shared" si="0"/>
        <v>-1.3613381422999999</v>
      </c>
      <c r="V108">
        <f t="shared" si="1"/>
        <v>-4.6111615500000001E-2</v>
      </c>
      <c r="W108">
        <f t="shared" si="1"/>
        <v>1.7340727492999999</v>
      </c>
      <c r="X108">
        <f t="shared" si="1"/>
        <v>-0.216082577</v>
      </c>
      <c r="Y108">
        <f t="shared" si="1"/>
        <v>-1.7340727492999999</v>
      </c>
    </row>
    <row r="109" spans="1:25" x14ac:dyDescent="0.2">
      <c r="A109" t="s">
        <v>22</v>
      </c>
      <c r="B109" s="1">
        <v>2.22E-8</v>
      </c>
      <c r="C109" s="1">
        <v>-3.32E-8</v>
      </c>
      <c r="D109" s="1">
        <v>4.7400000000000001E-8</v>
      </c>
      <c r="E109" s="1">
        <v>4.7400000000000001E-8</v>
      </c>
      <c r="G109">
        <v>2.8046003E-2</v>
      </c>
      <c r="H109">
        <v>-0.26527156299999999</v>
      </c>
      <c r="I109">
        <v>0.34813065599999998</v>
      </c>
      <c r="J109">
        <v>0.34813065599999998</v>
      </c>
      <c r="L109">
        <v>5.6824750000000002E-3</v>
      </c>
      <c r="M109">
        <v>-1.5956881999999999E-2</v>
      </c>
      <c r="N109">
        <v>0.10464003600000001</v>
      </c>
      <c r="O109">
        <v>0.10464003600000001</v>
      </c>
      <c r="Q109">
        <f t="shared" si="0"/>
        <v>-2.8045980799999998E-2</v>
      </c>
      <c r="R109">
        <f t="shared" si="0"/>
        <v>0.26527152979999996</v>
      </c>
      <c r="S109">
        <f t="shared" si="0"/>
        <v>-0.3481306086</v>
      </c>
      <c r="T109">
        <f t="shared" si="0"/>
        <v>-0.3481306086</v>
      </c>
      <c r="V109">
        <f t="shared" si="1"/>
        <v>-5.6824528000000004E-3</v>
      </c>
      <c r="W109">
        <f t="shared" si="1"/>
        <v>1.5956848799999999E-2</v>
      </c>
      <c r="X109">
        <f t="shared" si="1"/>
        <v>-0.10463998860000001</v>
      </c>
      <c r="Y109">
        <f t="shared" si="1"/>
        <v>-0.10463998860000001</v>
      </c>
    </row>
    <row r="110" spans="1:25" x14ac:dyDescent="0.2">
      <c r="A110" t="s">
        <v>23</v>
      </c>
      <c r="B110" s="1">
        <v>2.1200000000000001E-8</v>
      </c>
      <c r="C110" s="1">
        <v>-5.1599999999999999E-8</v>
      </c>
      <c r="D110">
        <v>4.9999999999999998E-8</v>
      </c>
      <c r="E110" s="1">
        <v>5.1599999999999999E-8</v>
      </c>
      <c r="G110" s="1">
        <v>5.1799999999999995E-7</v>
      </c>
      <c r="H110" s="1">
        <v>-4.3599999999999998E-6</v>
      </c>
      <c r="I110" s="1">
        <v>2.7700000000000002E-6</v>
      </c>
      <c r="J110" s="1">
        <v>4.3599999999999998E-6</v>
      </c>
      <c r="L110" s="1">
        <v>2.1200000000000001E-8</v>
      </c>
      <c r="M110" s="1">
        <v>-5.1599999999999999E-8</v>
      </c>
      <c r="N110">
        <v>4.9999999999999998E-8</v>
      </c>
      <c r="O110" s="1">
        <v>5.1599999999999999E-8</v>
      </c>
      <c r="Q110">
        <f t="shared" si="0"/>
        <v>-4.9679999999999995E-7</v>
      </c>
      <c r="R110">
        <f t="shared" si="0"/>
        <v>4.3084000000000001E-6</v>
      </c>
      <c r="S110">
        <f t="shared" si="0"/>
        <v>-2.7200000000000002E-6</v>
      </c>
      <c r="T110">
        <f t="shared" si="0"/>
        <v>-4.3084000000000001E-6</v>
      </c>
      <c r="V110">
        <f t="shared" si="1"/>
        <v>0</v>
      </c>
      <c r="W110">
        <f t="shared" si="1"/>
        <v>0</v>
      </c>
      <c r="X110">
        <f t="shared" si="1"/>
        <v>0</v>
      </c>
      <c r="Y110">
        <f t="shared" si="1"/>
        <v>0</v>
      </c>
    </row>
    <row r="111" spans="1:25" x14ac:dyDescent="0.2">
      <c r="A111" t="s">
        <v>24</v>
      </c>
      <c r="B111" s="1">
        <v>1.99E-8</v>
      </c>
      <c r="C111" s="1">
        <v>-4.58E-8</v>
      </c>
      <c r="D111" s="1">
        <v>4.36E-8</v>
      </c>
      <c r="E111" s="1">
        <v>4.58E-8</v>
      </c>
      <c r="G111" s="1">
        <v>6.9399999999999999E-8</v>
      </c>
      <c r="H111">
        <v>-1.858E-6</v>
      </c>
      <c r="I111" s="1">
        <v>2.8700000000000002E-7</v>
      </c>
      <c r="J111">
        <v>1.858E-6</v>
      </c>
      <c r="L111" s="1">
        <v>1.99E-8</v>
      </c>
      <c r="M111" s="1">
        <v>-4.58E-8</v>
      </c>
      <c r="N111" s="1">
        <v>4.36E-8</v>
      </c>
      <c r="O111" s="1">
        <v>4.58E-8</v>
      </c>
      <c r="Q111">
        <f t="shared" si="0"/>
        <v>-4.95E-8</v>
      </c>
      <c r="R111">
        <f t="shared" si="0"/>
        <v>1.8122E-6</v>
      </c>
      <c r="S111">
        <f t="shared" si="0"/>
        <v>-2.4340000000000002E-7</v>
      </c>
      <c r="T111">
        <f t="shared" si="0"/>
        <v>-1.8122E-6</v>
      </c>
      <c r="V111">
        <f t="shared" si="1"/>
        <v>0</v>
      </c>
      <c r="W111">
        <f t="shared" si="1"/>
        <v>0</v>
      </c>
      <c r="X111">
        <f t="shared" si="1"/>
        <v>0</v>
      </c>
      <c r="Y111">
        <f t="shared" si="1"/>
        <v>0</v>
      </c>
    </row>
    <row r="112" spans="1:25" x14ac:dyDescent="0.2">
      <c r="A112" t="s">
        <v>25</v>
      </c>
      <c r="B112" s="1">
        <v>2.2399999999999999E-8</v>
      </c>
      <c r="C112" s="1">
        <v>-4.8100000000000001E-8</v>
      </c>
      <c r="D112" s="1">
        <v>4.9199999999999997E-8</v>
      </c>
      <c r="E112" s="1">
        <v>4.9199999999999997E-8</v>
      </c>
      <c r="G112">
        <v>1.4550116E-2</v>
      </c>
      <c r="H112">
        <v>-0.22015848800000001</v>
      </c>
      <c r="I112">
        <v>0.15114593900000001</v>
      </c>
      <c r="J112">
        <v>0.22015848800000001</v>
      </c>
      <c r="L112">
        <v>1.0967959999999999E-3</v>
      </c>
      <c r="M112">
        <v>-1.6475828000000001E-2</v>
      </c>
      <c r="N112">
        <v>1.3281759000000001E-2</v>
      </c>
      <c r="O112">
        <v>1.6475828000000001E-2</v>
      </c>
      <c r="Q112">
        <f t="shared" si="0"/>
        <v>-1.4550093599999999E-2</v>
      </c>
      <c r="R112">
        <f t="shared" si="0"/>
        <v>0.2201584399</v>
      </c>
      <c r="S112">
        <f t="shared" si="0"/>
        <v>-0.15114588980000002</v>
      </c>
      <c r="T112">
        <f t="shared" si="0"/>
        <v>-0.22015843880000002</v>
      </c>
      <c r="V112">
        <f t="shared" si="1"/>
        <v>-1.0967735999999999E-3</v>
      </c>
      <c r="W112">
        <f t="shared" si="1"/>
        <v>1.6475779900000001E-2</v>
      </c>
      <c r="X112">
        <f t="shared" si="1"/>
        <v>-1.3281709800000001E-2</v>
      </c>
      <c r="Y112">
        <f t="shared" si="1"/>
        <v>-1.64757788E-2</v>
      </c>
    </row>
    <row r="113" spans="1:25" x14ac:dyDescent="0.2">
      <c r="A113" t="s">
        <v>26</v>
      </c>
      <c r="B113" s="1">
        <v>1.96E-8</v>
      </c>
      <c r="C113" s="1">
        <v>-4.4199999999999999E-8</v>
      </c>
      <c r="D113">
        <v>4.9000000000000002E-8</v>
      </c>
      <c r="E113">
        <v>4.9000000000000002E-8</v>
      </c>
      <c r="G113">
        <v>8.1810110000000002E-3</v>
      </c>
      <c r="H113">
        <v>-0.146782306</v>
      </c>
      <c r="I113">
        <v>0.131193753</v>
      </c>
      <c r="J113">
        <v>0.146782306</v>
      </c>
      <c r="L113">
        <v>5.8399749999999999E-3</v>
      </c>
      <c r="M113" s="1">
        <v>-1.15E-5</v>
      </c>
      <c r="N113">
        <v>0.28261809700000001</v>
      </c>
      <c r="O113">
        <v>0.28261809700000001</v>
      </c>
      <c r="Q113">
        <f t="shared" si="0"/>
        <v>-8.1809914000000004E-3</v>
      </c>
      <c r="R113">
        <f t="shared" si="0"/>
        <v>0.14678226180000001</v>
      </c>
      <c r="S113">
        <f t="shared" si="0"/>
        <v>-0.13119370399999999</v>
      </c>
      <c r="T113">
        <f t="shared" si="0"/>
        <v>-0.146782257</v>
      </c>
      <c r="V113">
        <f t="shared" si="1"/>
        <v>-5.8399554000000001E-3</v>
      </c>
      <c r="W113">
        <f t="shared" si="1"/>
        <v>1.14558E-5</v>
      </c>
      <c r="X113">
        <f t="shared" si="1"/>
        <v>-0.28261804800000001</v>
      </c>
      <c r="Y113">
        <f t="shared" si="1"/>
        <v>-0.28261804800000001</v>
      </c>
    </row>
    <row r="114" spans="1:25" x14ac:dyDescent="0.2">
      <c r="A114" t="s">
        <v>27</v>
      </c>
      <c r="B114" s="1">
        <v>2.33E-8</v>
      </c>
      <c r="C114" s="1">
        <v>-5.02E-8</v>
      </c>
      <c r="D114" s="1">
        <v>4.5499999999999997E-8</v>
      </c>
      <c r="E114" s="1">
        <v>5.02E-8</v>
      </c>
      <c r="G114">
        <v>2.6936E-3</v>
      </c>
      <c r="H114">
        <v>-8.7858299999999997E-3</v>
      </c>
      <c r="I114">
        <v>4.6950031000000003E-2</v>
      </c>
      <c r="J114">
        <v>4.6950031000000003E-2</v>
      </c>
      <c r="L114" s="1">
        <v>3.1600000000000002E-5</v>
      </c>
      <c r="M114">
        <v>-2.9337299999999998E-4</v>
      </c>
      <c r="N114">
        <v>3.87267E-4</v>
      </c>
      <c r="O114">
        <v>3.87267E-4</v>
      </c>
      <c r="Q114">
        <f t="shared" si="0"/>
        <v>-2.6935766999999998E-3</v>
      </c>
      <c r="R114">
        <f t="shared" si="0"/>
        <v>8.785779799999999E-3</v>
      </c>
      <c r="S114">
        <f t="shared" si="0"/>
        <v>-4.6949985500000006E-2</v>
      </c>
      <c r="T114">
        <f t="shared" si="0"/>
        <v>-4.6949980800000006E-2</v>
      </c>
      <c r="V114">
        <f t="shared" si="1"/>
        <v>-3.1576700000000006E-5</v>
      </c>
      <c r="W114">
        <f t="shared" si="1"/>
        <v>2.933228E-4</v>
      </c>
      <c r="X114">
        <f t="shared" si="1"/>
        <v>-3.8722149999999999E-4</v>
      </c>
      <c r="Y114">
        <f t="shared" si="1"/>
        <v>-3.8721680000000002E-4</v>
      </c>
    </row>
    <row r="115" spans="1:25" x14ac:dyDescent="0.2">
      <c r="A115" t="s">
        <v>28</v>
      </c>
      <c r="B115" s="1">
        <v>2.0500000000000002E-8</v>
      </c>
      <c r="C115" s="1">
        <v>-4.66E-8</v>
      </c>
      <c r="D115" s="1">
        <v>5.2899999999999997E-8</v>
      </c>
      <c r="E115" s="1">
        <v>5.2899999999999997E-8</v>
      </c>
      <c r="G115">
        <v>3.2408874999999997E-2</v>
      </c>
      <c r="H115">
        <v>-1.561657E-2</v>
      </c>
      <c r="I115">
        <v>1.952412099</v>
      </c>
      <c r="J115">
        <v>1.952412099</v>
      </c>
      <c r="L115" s="1">
        <v>5.6699999999999999E-6</v>
      </c>
      <c r="M115">
        <v>-9.0129999999999999E-6</v>
      </c>
      <c r="N115" s="1">
        <v>5.0399999999999999E-5</v>
      </c>
      <c r="O115" s="1">
        <v>5.0399999999999999E-5</v>
      </c>
      <c r="Q115">
        <f t="shared" si="0"/>
        <v>-3.2408854499999994E-2</v>
      </c>
      <c r="R115">
        <f t="shared" si="0"/>
        <v>1.56165234E-2</v>
      </c>
      <c r="S115">
        <f t="shared" si="0"/>
        <v>-1.9524120461000001</v>
      </c>
      <c r="T115">
        <f t="shared" si="0"/>
        <v>-1.9524120461000001</v>
      </c>
      <c r="V115">
        <f t="shared" si="1"/>
        <v>-5.6494999999999999E-6</v>
      </c>
      <c r="W115">
        <f t="shared" si="1"/>
        <v>8.9663999999999994E-6</v>
      </c>
      <c r="X115">
        <f t="shared" si="1"/>
        <v>-5.0347099999999998E-5</v>
      </c>
      <c r="Y115">
        <f t="shared" si="1"/>
        <v>-5.0347099999999998E-5</v>
      </c>
    </row>
    <row r="116" spans="1:25" x14ac:dyDescent="0.2">
      <c r="A116" t="s">
        <v>29</v>
      </c>
      <c r="B116" s="1">
        <v>1.9700000000000001E-8</v>
      </c>
      <c r="C116">
        <v>-4.9000000000000002E-8</v>
      </c>
      <c r="D116" s="1">
        <v>4.66E-8</v>
      </c>
      <c r="E116">
        <v>4.9000000000000002E-8</v>
      </c>
      <c r="G116" s="1">
        <v>9.2499999999999999E-5</v>
      </c>
      <c r="H116">
        <v>-3.46058E-4</v>
      </c>
      <c r="I116">
        <v>9.4897899999999997E-4</v>
      </c>
      <c r="J116">
        <v>9.4897899999999997E-4</v>
      </c>
      <c r="L116" s="1">
        <v>6.8899999999999999E-7</v>
      </c>
      <c r="M116" s="1">
        <v>-6.2400000000000004E-6</v>
      </c>
      <c r="N116" s="1">
        <v>7.0899999999999999E-6</v>
      </c>
      <c r="O116" s="1">
        <v>7.0899999999999999E-6</v>
      </c>
      <c r="Q116">
        <f t="shared" si="0"/>
        <v>-9.2480300000000003E-5</v>
      </c>
      <c r="R116">
        <f t="shared" si="0"/>
        <v>3.4600899999999999E-4</v>
      </c>
      <c r="S116">
        <f t="shared" si="0"/>
        <v>-9.4893240000000002E-4</v>
      </c>
      <c r="T116">
        <f t="shared" si="0"/>
        <v>-9.4892999999999996E-4</v>
      </c>
      <c r="V116">
        <f t="shared" si="1"/>
        <v>-6.6929999999999999E-7</v>
      </c>
      <c r="W116">
        <f t="shared" si="1"/>
        <v>6.1910000000000005E-6</v>
      </c>
      <c r="X116">
        <f t="shared" si="1"/>
        <v>-7.0434000000000002E-6</v>
      </c>
      <c r="Y116">
        <f t="shared" si="1"/>
        <v>-7.041E-6</v>
      </c>
    </row>
    <row r="117" spans="1:25" x14ac:dyDescent="0.2">
      <c r="A117" t="s">
        <v>30</v>
      </c>
      <c r="B117" s="1">
        <v>2.2300000000000001E-8</v>
      </c>
      <c r="C117">
        <v>-4.9999999999999998E-8</v>
      </c>
      <c r="D117" s="1">
        <v>5.2100000000000003E-8</v>
      </c>
      <c r="E117" s="1">
        <v>5.2100000000000003E-8</v>
      </c>
      <c r="G117">
        <v>2.63668E-4</v>
      </c>
      <c r="H117">
        <v>-4.0815790000000001E-3</v>
      </c>
      <c r="I117">
        <v>1.582387E-3</v>
      </c>
      <c r="J117">
        <v>4.0815790000000001E-3</v>
      </c>
      <c r="L117" s="1">
        <v>5.44E-7</v>
      </c>
      <c r="M117" s="1">
        <v>-1.3E-7</v>
      </c>
      <c r="N117" s="1">
        <v>3.41E-6</v>
      </c>
      <c r="O117" s="1">
        <v>3.41E-6</v>
      </c>
      <c r="Q117">
        <f t="shared" si="0"/>
        <v>-2.6364569999999998E-4</v>
      </c>
      <c r="R117">
        <f t="shared" si="0"/>
        <v>4.0815290000000004E-3</v>
      </c>
      <c r="S117">
        <f t="shared" si="0"/>
        <v>-1.5823349E-3</v>
      </c>
      <c r="T117">
        <f t="shared" si="0"/>
        <v>-4.0815269000000001E-3</v>
      </c>
      <c r="V117">
        <f t="shared" si="1"/>
        <v>-5.2170000000000002E-7</v>
      </c>
      <c r="W117">
        <f t="shared" si="1"/>
        <v>8.0000000000000002E-8</v>
      </c>
      <c r="X117">
        <f t="shared" si="1"/>
        <v>-3.3579000000000001E-6</v>
      </c>
      <c r="Y117">
        <f t="shared" si="1"/>
        <v>-3.3579000000000001E-6</v>
      </c>
    </row>
    <row r="118" spans="1:25" x14ac:dyDescent="0.2">
      <c r="A118" t="s">
        <v>31</v>
      </c>
      <c r="B118" s="1">
        <v>1.85E-8</v>
      </c>
      <c r="C118" s="1">
        <v>-5.3799999999999999E-8</v>
      </c>
      <c r="D118" s="1">
        <v>5.0600000000000003E-8</v>
      </c>
      <c r="E118" s="1">
        <v>5.3799999999999999E-8</v>
      </c>
      <c r="G118">
        <v>2.7767299999999998E-4</v>
      </c>
      <c r="H118">
        <v>-3.6684700000000001E-4</v>
      </c>
      <c r="I118">
        <v>1.1948891999999999E-2</v>
      </c>
      <c r="J118">
        <v>1.1948891999999999E-2</v>
      </c>
      <c r="L118">
        <v>1.73E-7</v>
      </c>
      <c r="M118" s="1">
        <v>-7.6399999999999997E-6</v>
      </c>
      <c r="N118" s="1">
        <v>2.8700000000000002E-7</v>
      </c>
      <c r="O118" s="1">
        <v>7.6399999999999997E-6</v>
      </c>
      <c r="Q118">
        <f t="shared" si="0"/>
        <v>-2.7765449999999996E-4</v>
      </c>
      <c r="R118">
        <f t="shared" si="0"/>
        <v>3.6679319999999998E-4</v>
      </c>
      <c r="S118">
        <f t="shared" si="0"/>
        <v>-1.1948841399999998E-2</v>
      </c>
      <c r="T118">
        <f t="shared" si="0"/>
        <v>-1.1948838199999999E-2</v>
      </c>
      <c r="V118">
        <f t="shared" si="1"/>
        <v>-1.5450000000000001E-7</v>
      </c>
      <c r="W118">
        <f t="shared" si="1"/>
        <v>7.5861999999999995E-6</v>
      </c>
      <c r="X118">
        <f t="shared" si="1"/>
        <v>-2.3640000000000003E-7</v>
      </c>
      <c r="Y118">
        <f t="shared" si="1"/>
        <v>-7.5861999999999995E-6</v>
      </c>
    </row>
    <row r="119" spans="1:25" x14ac:dyDescent="0.2">
      <c r="A119" t="s">
        <v>32</v>
      </c>
      <c r="B119" s="1">
        <v>2.07E-8</v>
      </c>
      <c r="C119" s="1">
        <v>-5.6300000000000001E-8</v>
      </c>
      <c r="D119" s="1">
        <v>5.3099999999999999E-8</v>
      </c>
      <c r="E119" s="1">
        <v>5.6300000000000001E-8</v>
      </c>
      <c r="G119" s="1">
        <v>7.8499999999999997E-5</v>
      </c>
      <c r="H119">
        <v>-3.8685400000000001E-4</v>
      </c>
      <c r="I119">
        <v>1.125746E-3</v>
      </c>
      <c r="J119">
        <v>1.125746E-3</v>
      </c>
      <c r="L119" s="1">
        <v>3.84E-8</v>
      </c>
      <c r="M119" s="1">
        <v>-1.2599999999999999E-7</v>
      </c>
      <c r="N119" s="1">
        <v>4.51E-7</v>
      </c>
      <c r="O119" s="1">
        <v>4.51E-7</v>
      </c>
      <c r="Q119">
        <f t="shared" si="0"/>
        <v>-7.8479299999999999E-5</v>
      </c>
      <c r="R119">
        <f t="shared" si="0"/>
        <v>3.867977E-4</v>
      </c>
      <c r="S119">
        <f t="shared" si="0"/>
        <v>-1.1256929000000001E-3</v>
      </c>
      <c r="T119">
        <f t="shared" si="0"/>
        <v>-1.1256897000000001E-3</v>
      </c>
      <c r="V119">
        <f t="shared" si="1"/>
        <v>-1.77E-8</v>
      </c>
      <c r="W119">
        <f t="shared" si="1"/>
        <v>6.9699999999999995E-8</v>
      </c>
      <c r="X119">
        <f t="shared" si="1"/>
        <v>-3.9789999999999998E-7</v>
      </c>
      <c r="Y119">
        <f t="shared" si="1"/>
        <v>-3.9470000000000001E-7</v>
      </c>
    </row>
    <row r="120" spans="1:25" x14ac:dyDescent="0.2">
      <c r="A120" t="s">
        <v>33</v>
      </c>
      <c r="B120" s="1">
        <v>2.4900000000000001E-8</v>
      </c>
      <c r="C120" s="1">
        <v>-4.8900000000000001E-8</v>
      </c>
      <c r="D120" s="1">
        <v>5.0799999999999998E-8</v>
      </c>
      <c r="E120" s="1">
        <v>5.0799999999999998E-8</v>
      </c>
      <c r="G120" s="1">
        <v>1.1000000000000001E-6</v>
      </c>
      <c r="H120" s="1">
        <v>-9.6700000000000006E-6</v>
      </c>
      <c r="I120" s="1">
        <v>3.4499999999999998E-5</v>
      </c>
      <c r="J120" s="1">
        <v>3.4499999999999998E-5</v>
      </c>
      <c r="L120" s="1">
        <v>2.4900000000000001E-8</v>
      </c>
      <c r="M120" s="1">
        <v>-4.8900000000000001E-8</v>
      </c>
      <c r="N120" s="1">
        <v>5.0799999999999998E-8</v>
      </c>
      <c r="O120" s="1">
        <v>5.0799999999999998E-8</v>
      </c>
      <c r="Q120">
        <f t="shared" si="0"/>
        <v>-1.0751000000000001E-6</v>
      </c>
      <c r="R120">
        <f t="shared" si="0"/>
        <v>9.6211000000000001E-6</v>
      </c>
      <c r="S120">
        <f t="shared" si="0"/>
        <v>-3.4449199999999995E-5</v>
      </c>
      <c r="T120">
        <f t="shared" si="0"/>
        <v>-3.4449199999999995E-5</v>
      </c>
      <c r="V120">
        <f t="shared" si="1"/>
        <v>0</v>
      </c>
      <c r="W120">
        <f t="shared" si="1"/>
        <v>0</v>
      </c>
      <c r="X120">
        <f t="shared" si="1"/>
        <v>0</v>
      </c>
      <c r="Y120">
        <f t="shared" si="1"/>
        <v>0</v>
      </c>
    </row>
    <row r="121" spans="1:25" x14ac:dyDescent="0.2">
      <c r="A121" t="s">
        <v>34</v>
      </c>
      <c r="B121" s="1">
        <v>2.1699999999999999E-8</v>
      </c>
      <c r="C121" s="1">
        <v>-5.2700000000000002E-8</v>
      </c>
      <c r="D121" s="1">
        <v>4.9199999999999997E-8</v>
      </c>
      <c r="E121" s="1">
        <v>5.2700000000000002E-8</v>
      </c>
      <c r="G121" s="1">
        <v>1.7900000000000001E-5</v>
      </c>
      <c r="H121">
        <v>-2.4036199999999999E-4</v>
      </c>
      <c r="I121" s="1">
        <v>7.8700000000000002E-5</v>
      </c>
      <c r="J121">
        <v>2.4036199999999999E-4</v>
      </c>
      <c r="L121" s="1">
        <v>2.18E-8</v>
      </c>
      <c r="M121" s="1">
        <v>-5.2700000000000002E-8</v>
      </c>
      <c r="N121" s="1">
        <v>4.9199999999999997E-8</v>
      </c>
      <c r="O121" s="1">
        <v>5.2700000000000002E-8</v>
      </c>
      <c r="Q121">
        <f t="shared" si="0"/>
        <v>-1.7878300000000001E-5</v>
      </c>
      <c r="R121">
        <f t="shared" si="0"/>
        <v>2.4030929999999999E-4</v>
      </c>
      <c r="S121">
        <f t="shared" si="0"/>
        <v>-7.8650800000000003E-5</v>
      </c>
      <c r="T121">
        <f t="shared" si="0"/>
        <v>-2.4030929999999999E-4</v>
      </c>
      <c r="V121">
        <f t="shared" si="1"/>
        <v>-1.000000000000009E-10</v>
      </c>
      <c r="W121">
        <f t="shared" si="1"/>
        <v>0</v>
      </c>
      <c r="X121">
        <f t="shared" si="1"/>
        <v>0</v>
      </c>
      <c r="Y121">
        <f t="shared" si="1"/>
        <v>0</v>
      </c>
    </row>
    <row r="122" spans="1:25" x14ac:dyDescent="0.2">
      <c r="A122" t="s">
        <v>35</v>
      </c>
      <c r="B122" s="1">
        <v>1.92E-8</v>
      </c>
      <c r="C122" s="1">
        <v>-4.0299999999999997E-8</v>
      </c>
      <c r="D122" s="1">
        <v>4.66E-8</v>
      </c>
      <c r="E122" s="1">
        <v>4.66E-8</v>
      </c>
      <c r="G122" s="1">
        <v>1.52E-5</v>
      </c>
      <c r="H122" s="1">
        <v>-5.2099999999999999E-5</v>
      </c>
      <c r="I122">
        <v>5.0010899999999999E-4</v>
      </c>
      <c r="J122">
        <v>5.0010899999999999E-4</v>
      </c>
      <c r="L122" s="1">
        <v>1.92E-8</v>
      </c>
      <c r="M122" s="1">
        <v>-4.0299999999999997E-8</v>
      </c>
      <c r="N122" s="1">
        <v>4.66E-8</v>
      </c>
      <c r="O122" s="1">
        <v>4.66E-8</v>
      </c>
      <c r="Q122">
        <f t="shared" si="0"/>
        <v>-1.51808E-5</v>
      </c>
      <c r="R122">
        <f t="shared" si="0"/>
        <v>5.2059699999999999E-5</v>
      </c>
      <c r="S122">
        <f t="shared" si="0"/>
        <v>-5.0006240000000004E-4</v>
      </c>
      <c r="T122">
        <f t="shared" si="0"/>
        <v>-5.0006240000000004E-4</v>
      </c>
      <c r="V122">
        <f t="shared" si="1"/>
        <v>0</v>
      </c>
      <c r="W122">
        <f t="shared" si="1"/>
        <v>0</v>
      </c>
      <c r="X122">
        <f t="shared" si="1"/>
        <v>0</v>
      </c>
      <c r="Y122">
        <f t="shared" si="1"/>
        <v>0</v>
      </c>
    </row>
    <row r="123" spans="1:25" x14ac:dyDescent="0.2">
      <c r="A123" t="s">
        <v>36</v>
      </c>
      <c r="B123">
        <v>0</v>
      </c>
      <c r="C123">
        <v>0</v>
      </c>
      <c r="D123">
        <v>0</v>
      </c>
      <c r="E123">
        <v>0</v>
      </c>
      <c r="G123">
        <v>0</v>
      </c>
      <c r="H123">
        <v>0</v>
      </c>
      <c r="I123">
        <v>0</v>
      </c>
      <c r="J123">
        <v>0</v>
      </c>
      <c r="L123">
        <v>0</v>
      </c>
      <c r="M123">
        <v>0</v>
      </c>
      <c r="N123">
        <v>0</v>
      </c>
      <c r="O123">
        <v>0</v>
      </c>
      <c r="Q123">
        <f t="shared" si="0"/>
        <v>0</v>
      </c>
      <c r="R123">
        <f t="shared" si="0"/>
        <v>0</v>
      </c>
      <c r="S123">
        <f t="shared" si="0"/>
        <v>0</v>
      </c>
      <c r="T123">
        <f t="shared" si="0"/>
        <v>0</v>
      </c>
      <c r="V123">
        <f>IF(ISNUMBER(B123),B123-L123,"")</f>
        <v>0</v>
      </c>
      <c r="W123">
        <f t="shared" si="1"/>
        <v>0</v>
      </c>
      <c r="X123">
        <f t="shared" si="1"/>
        <v>0</v>
      </c>
      <c r="Y123">
        <f t="shared" si="1"/>
        <v>0</v>
      </c>
    </row>
    <row r="124" spans="1:25" x14ac:dyDescent="0.2">
      <c r="A124" t="s">
        <v>37</v>
      </c>
      <c r="B124">
        <v>0</v>
      </c>
      <c r="C124">
        <v>0</v>
      </c>
      <c r="D124">
        <v>0</v>
      </c>
      <c r="E124">
        <v>0</v>
      </c>
      <c r="G124">
        <v>0</v>
      </c>
      <c r="H124">
        <v>0</v>
      </c>
      <c r="I124">
        <v>0</v>
      </c>
      <c r="J124">
        <v>0</v>
      </c>
      <c r="L124">
        <v>0</v>
      </c>
      <c r="M124">
        <v>0</v>
      </c>
      <c r="N124">
        <v>0</v>
      </c>
      <c r="O124">
        <v>0</v>
      </c>
      <c r="Q124">
        <f t="shared" si="0"/>
        <v>0</v>
      </c>
      <c r="R124">
        <f t="shared" si="0"/>
        <v>0</v>
      </c>
      <c r="S124">
        <f t="shared" si="0"/>
        <v>0</v>
      </c>
      <c r="T124">
        <f t="shared" si="0"/>
        <v>0</v>
      </c>
      <c r="V124">
        <f t="shared" ref="V124:V127" si="8">IF(ISNUMBER(B124),B124-L124,"")</f>
        <v>0</v>
      </c>
      <c r="W124">
        <f t="shared" si="1"/>
        <v>0</v>
      </c>
      <c r="X124">
        <f t="shared" si="1"/>
        <v>0</v>
      </c>
      <c r="Y124">
        <f t="shared" si="1"/>
        <v>0</v>
      </c>
    </row>
    <row r="125" spans="1:25" x14ac:dyDescent="0.2">
      <c r="A125" t="s">
        <v>38</v>
      </c>
      <c r="B125" s="1">
        <v>2.3499999999999999E-8</v>
      </c>
      <c r="C125">
        <v>-5.7000000000000001E-8</v>
      </c>
      <c r="D125" s="1">
        <v>4.4199999999999999E-8</v>
      </c>
      <c r="E125">
        <v>5.7000000000000001E-8</v>
      </c>
      <c r="G125">
        <v>4250524777</v>
      </c>
      <c r="H125" s="1">
        <v>-255000000000</v>
      </c>
      <c r="I125">
        <v>1406419197</v>
      </c>
      <c r="J125" s="1">
        <v>255000000000</v>
      </c>
      <c r="L125" s="1">
        <v>5.8E+17</v>
      </c>
      <c r="M125" s="1">
        <v>-1.36E+18</v>
      </c>
      <c r="N125" s="1">
        <v>1.64E+19</v>
      </c>
      <c r="O125" s="1">
        <v>1.64E+19</v>
      </c>
      <c r="Q125">
        <f t="shared" si="0"/>
        <v>-4250524777</v>
      </c>
      <c r="R125">
        <f t="shared" si="0"/>
        <v>255000000000</v>
      </c>
      <c r="S125">
        <f t="shared" si="0"/>
        <v>-1406419197</v>
      </c>
      <c r="T125">
        <f t="shared" si="0"/>
        <v>-255000000000</v>
      </c>
      <c r="V125">
        <f t="shared" si="8"/>
        <v>-5.8E+17</v>
      </c>
      <c r="W125">
        <f t="shared" si="1"/>
        <v>1.36E+18</v>
      </c>
      <c r="X125">
        <f t="shared" si="1"/>
        <v>-1.64E+19</v>
      </c>
      <c r="Y125">
        <f t="shared" si="1"/>
        <v>-1.64E+19</v>
      </c>
    </row>
    <row r="126" spans="1:25" x14ac:dyDescent="0.2">
      <c r="A126" t="s">
        <v>39</v>
      </c>
      <c r="B126" s="1">
        <v>1.99E-8</v>
      </c>
      <c r="C126" s="1">
        <v>-4.8300000000000002E-8</v>
      </c>
      <c r="D126" s="1">
        <v>4.8100000000000001E-8</v>
      </c>
      <c r="E126" s="1">
        <v>4.8300000000000002E-8</v>
      </c>
      <c r="G126">
        <v>219921865.90000001</v>
      </c>
      <c r="H126">
        <v>-830954797.60000002</v>
      </c>
      <c r="I126">
        <v>4079765485</v>
      </c>
      <c r="J126">
        <v>4079765485</v>
      </c>
      <c r="L126" s="1">
        <v>9.68E+16</v>
      </c>
      <c r="M126" s="1">
        <v>-8.9E+17</v>
      </c>
      <c r="N126" s="1">
        <v>8.25E+17</v>
      </c>
      <c r="O126" s="1">
        <v>8.9E+17</v>
      </c>
      <c r="Q126">
        <f t="shared" si="0"/>
        <v>-219921865.89999998</v>
      </c>
      <c r="R126">
        <f t="shared" si="0"/>
        <v>830954797.60000002</v>
      </c>
      <c r="S126">
        <f t="shared" si="0"/>
        <v>-4079765485</v>
      </c>
      <c r="T126">
        <f t="shared" si="0"/>
        <v>-4079765485</v>
      </c>
      <c r="V126">
        <f t="shared" si="8"/>
        <v>-9.68E+16</v>
      </c>
      <c r="W126">
        <f t="shared" si="1"/>
        <v>8.9E+17</v>
      </c>
      <c r="X126">
        <f t="shared" si="1"/>
        <v>-8.25E+17</v>
      </c>
      <c r="Y126">
        <f t="shared" si="1"/>
        <v>-8.9E+17</v>
      </c>
    </row>
    <row r="127" spans="1:25" x14ac:dyDescent="0.2">
      <c r="A127" t="s">
        <v>40</v>
      </c>
      <c r="B127" s="1">
        <v>2.6499999999999999E-8</v>
      </c>
      <c r="C127" s="1">
        <v>-5.1900000000000002E-8</v>
      </c>
      <c r="D127" s="1">
        <v>4.8100000000000001E-8</v>
      </c>
      <c r="E127" s="1">
        <v>5.1900000000000002E-8</v>
      </c>
      <c r="G127">
        <v>164605642.40000001</v>
      </c>
      <c r="H127">
        <v>-2026011239</v>
      </c>
      <c r="I127">
        <v>2445424386</v>
      </c>
      <c r="J127">
        <v>2445424386</v>
      </c>
      <c r="L127" s="1">
        <v>7.29E+16</v>
      </c>
      <c r="M127" s="1">
        <v>-3.95E+18</v>
      </c>
      <c r="N127" s="1">
        <v>5.36E+16</v>
      </c>
      <c r="O127" s="1">
        <v>3.95E+18</v>
      </c>
      <c r="Q127">
        <f t="shared" si="0"/>
        <v>-164605642.39999998</v>
      </c>
      <c r="R127">
        <f t="shared" si="0"/>
        <v>2026011239</v>
      </c>
      <c r="S127">
        <f t="shared" si="0"/>
        <v>-2445424386</v>
      </c>
      <c r="T127">
        <f t="shared" si="0"/>
        <v>-2445424386</v>
      </c>
      <c r="V127">
        <f t="shared" si="8"/>
        <v>-7.29E+16</v>
      </c>
      <c r="W127">
        <f t="shared" si="1"/>
        <v>3.95E+18</v>
      </c>
      <c r="X127">
        <f t="shared" si="1"/>
        <v>-5.36E+16</v>
      </c>
      <c r="Y127">
        <f>IF(ISNUMBER(E127),E127-O127,"")</f>
        <v>-3.95E+18</v>
      </c>
    </row>
    <row r="129" spans="1:25" x14ac:dyDescent="0.2">
      <c r="A129" t="s">
        <v>41</v>
      </c>
      <c r="B129" s="1">
        <f>SUM(B91:B127)</f>
        <v>7.5569999999999981E-7</v>
      </c>
      <c r="C129" s="1">
        <f t="shared" ref="C129:E129" si="9">SUM(C91:C127)</f>
        <v>-1.7532000000000004E-6</v>
      </c>
      <c r="D129" s="1">
        <f t="shared" si="9"/>
        <v>1.7295000000000001E-6</v>
      </c>
      <c r="E129" s="1">
        <f t="shared" si="9"/>
        <v>1.8238000000000004E-6</v>
      </c>
      <c r="F129" s="1"/>
      <c r="G129" s="1">
        <f t="shared" ref="G129:Y129" si="10">SUM(G91:G127)</f>
        <v>4642557408.3048639</v>
      </c>
      <c r="H129" s="1">
        <f t="shared" si="10"/>
        <v>-257974598929.31201</v>
      </c>
      <c r="I129" s="1">
        <f t="shared" si="10"/>
        <v>8013853824.6657658</v>
      </c>
      <c r="J129" s="1">
        <f t="shared" si="10"/>
        <v>261663693156.17871</v>
      </c>
      <c r="K129" s="1"/>
      <c r="L129" s="1">
        <f t="shared" si="10"/>
        <v>7.4986011911736909E+17</v>
      </c>
      <c r="M129" s="1">
        <f t="shared" si="10"/>
        <v>-6.2000010360156938E+18</v>
      </c>
      <c r="N129" s="1">
        <f t="shared" si="10"/>
        <v>1.7283991559655533E+19</v>
      </c>
      <c r="O129" s="1">
        <f t="shared" si="10"/>
        <v>2.1245391858098692E+19</v>
      </c>
      <c r="P129" s="1"/>
      <c r="Q129" s="1">
        <f t="shared" si="10"/>
        <v>-4642557408.304863</v>
      </c>
      <c r="R129" s="1">
        <f t="shared" si="10"/>
        <v>257974598929.31201</v>
      </c>
      <c r="S129" s="1">
        <f t="shared" si="10"/>
        <v>-8013853824.6657639</v>
      </c>
      <c r="T129" s="1">
        <f t="shared" si="10"/>
        <v>-261663693156.17871</v>
      </c>
      <c r="U129" s="1"/>
      <c r="V129" s="1">
        <f t="shared" si="10"/>
        <v>-7.4986011911736909E+17</v>
      </c>
      <c r="W129" s="1">
        <f t="shared" si="10"/>
        <v>6.2000010360156938E+18</v>
      </c>
      <c r="X129" s="1">
        <f t="shared" si="10"/>
        <v>-1.7283991559655533E+19</v>
      </c>
      <c r="Y129" s="1">
        <f t="shared" si="10"/>
        <v>-2.1245391858098692E+19</v>
      </c>
    </row>
    <row r="130" spans="1:25" x14ac:dyDescent="0.2">
      <c r="A130" t="s">
        <v>42</v>
      </c>
      <c r="B130" s="1">
        <f>AVERAGE(B91:B127)</f>
        <v>2.0424324324324319E-8</v>
      </c>
      <c r="C130" s="1">
        <f t="shared" ref="C130:E130" si="11">AVERAGE(C91:C127)</f>
        <v>-4.7383783783783796E-8</v>
      </c>
      <c r="D130" s="1">
        <f t="shared" si="11"/>
        <v>4.6743243243243244E-8</v>
      </c>
      <c r="E130" s="1">
        <f t="shared" si="11"/>
        <v>4.9291891891891902E-8</v>
      </c>
      <c r="F130" s="1"/>
      <c r="G130" s="1">
        <f t="shared" ref="G130:Y130" si="12">AVERAGE(G91:G127)</f>
        <v>125474524.54878011</v>
      </c>
      <c r="H130" s="1">
        <f t="shared" si="12"/>
        <v>-6972286457.5489731</v>
      </c>
      <c r="I130" s="1">
        <f t="shared" si="12"/>
        <v>216590643.90988556</v>
      </c>
      <c r="J130" s="1">
        <f t="shared" si="12"/>
        <v>7071991706.923749</v>
      </c>
      <c r="K130" s="1"/>
      <c r="L130" s="1">
        <f t="shared" si="12"/>
        <v>2.026648970587484E+16</v>
      </c>
      <c r="M130" s="1">
        <f t="shared" si="12"/>
        <v>-1.6756759556799171E+17</v>
      </c>
      <c r="N130" s="1">
        <f t="shared" si="12"/>
        <v>4.6713490701771712E+17</v>
      </c>
      <c r="O130" s="1">
        <f t="shared" si="12"/>
        <v>5.7419977994861331E+17</v>
      </c>
      <c r="P130" s="1"/>
      <c r="Q130" s="1">
        <f t="shared" si="12"/>
        <v>-125474524.54878008</v>
      </c>
      <c r="R130" s="1">
        <f t="shared" si="12"/>
        <v>6972286457.5489731</v>
      </c>
      <c r="S130" s="1">
        <f t="shared" si="12"/>
        <v>-216590643.9098855</v>
      </c>
      <c r="T130" s="1">
        <f t="shared" si="12"/>
        <v>-7071991706.923749</v>
      </c>
      <c r="U130" s="1"/>
      <c r="V130" s="1">
        <f t="shared" si="12"/>
        <v>-2.026648970587484E+16</v>
      </c>
      <c r="W130" s="1">
        <f t="shared" si="12"/>
        <v>1.6756759556799171E+17</v>
      </c>
      <c r="X130" s="1">
        <f t="shared" si="12"/>
        <v>-4.6713490701771712E+17</v>
      </c>
      <c r="Y130" s="1">
        <f t="shared" si="12"/>
        <v>-5.7419977994861331E+17</v>
      </c>
    </row>
    <row r="131" spans="1:25" x14ac:dyDescent="0.2">
      <c r="A131" t="s">
        <v>43</v>
      </c>
      <c r="B131" s="1">
        <f>MAX(B91:B127)</f>
        <v>2.6499999999999999E-8</v>
      </c>
      <c r="C131" s="1">
        <f t="shared" ref="C131:E131" si="13">MAX(C91:C127)</f>
        <v>0</v>
      </c>
      <c r="D131" s="1">
        <f t="shared" si="13"/>
        <v>5.7100000000000002E-8</v>
      </c>
      <c r="E131" s="1">
        <f t="shared" si="13"/>
        <v>5.7299999999999997E-8</v>
      </c>
      <c r="F131" s="1"/>
      <c r="G131" s="1">
        <f t="shared" ref="G131:Y131" si="14">MAX(G91:G127)</f>
        <v>4250524777</v>
      </c>
      <c r="H131" s="1">
        <f t="shared" si="14"/>
        <v>0</v>
      </c>
      <c r="I131" s="1">
        <f t="shared" si="14"/>
        <v>4079765485</v>
      </c>
      <c r="J131" s="1">
        <f t="shared" si="14"/>
        <v>255000000000</v>
      </c>
      <c r="K131" s="1"/>
      <c r="L131" s="1">
        <f t="shared" si="14"/>
        <v>5.8E+17</v>
      </c>
      <c r="M131" s="1">
        <f t="shared" si="14"/>
        <v>0</v>
      </c>
      <c r="N131" s="1">
        <f t="shared" si="14"/>
        <v>1.64E+19</v>
      </c>
      <c r="O131" s="1">
        <f t="shared" si="14"/>
        <v>1.64E+19</v>
      </c>
      <c r="P131" s="1"/>
      <c r="Q131" s="1">
        <f t="shared" si="14"/>
        <v>0</v>
      </c>
      <c r="R131" s="1">
        <f t="shared" si="14"/>
        <v>255000000000</v>
      </c>
      <c r="S131" s="1">
        <f t="shared" si="14"/>
        <v>0</v>
      </c>
      <c r="T131" s="1">
        <f t="shared" si="14"/>
        <v>0</v>
      </c>
      <c r="U131" s="1"/>
      <c r="V131" s="1">
        <f t="shared" si="14"/>
        <v>0</v>
      </c>
      <c r="W131" s="1">
        <f t="shared" si="14"/>
        <v>3.95E+18</v>
      </c>
      <c r="X131" s="1">
        <f t="shared" si="14"/>
        <v>0</v>
      </c>
      <c r="Y131" s="1">
        <f t="shared" si="14"/>
        <v>0</v>
      </c>
    </row>
    <row r="132" spans="1:25" x14ac:dyDescent="0.2">
      <c r="A132" t="s">
        <v>44</v>
      </c>
      <c r="B132" s="1">
        <f>MIN(B91:B127)</f>
        <v>0</v>
      </c>
      <c r="C132" s="1">
        <f t="shared" ref="C132:E132" si="15">MIN(C91:C127)</f>
        <v>-5.7299999999999997E-8</v>
      </c>
      <c r="D132" s="1">
        <f t="shared" si="15"/>
        <v>0</v>
      </c>
      <c r="E132" s="1">
        <f t="shared" si="15"/>
        <v>0</v>
      </c>
      <c r="F132" s="1"/>
      <c r="G132" s="1">
        <f t="shared" ref="G132:Y132" si="16">MIN(G91:G127)</f>
        <v>0</v>
      </c>
      <c r="H132" s="1">
        <f t="shared" si="16"/>
        <v>-255000000000</v>
      </c>
      <c r="I132" s="1">
        <f t="shared" si="16"/>
        <v>0</v>
      </c>
      <c r="J132" s="1">
        <f t="shared" si="16"/>
        <v>0</v>
      </c>
      <c r="K132" s="1"/>
      <c r="L132" s="1">
        <f t="shared" si="16"/>
        <v>0</v>
      </c>
      <c r="M132" s="1">
        <f t="shared" si="16"/>
        <v>-3.95E+18</v>
      </c>
      <c r="N132" s="1">
        <f t="shared" si="16"/>
        <v>0</v>
      </c>
      <c r="O132" s="1">
        <f t="shared" si="16"/>
        <v>0</v>
      </c>
      <c r="P132" s="1"/>
      <c r="Q132" s="1">
        <f t="shared" si="16"/>
        <v>-4250524777</v>
      </c>
      <c r="R132" s="1">
        <f t="shared" si="16"/>
        <v>0</v>
      </c>
      <c r="S132" s="1">
        <f t="shared" si="16"/>
        <v>-4079765485</v>
      </c>
      <c r="T132" s="1">
        <f t="shared" si="16"/>
        <v>-255000000000</v>
      </c>
      <c r="U132" s="1"/>
      <c r="V132" s="1">
        <f t="shared" si="16"/>
        <v>-5.8E+17</v>
      </c>
      <c r="W132" s="1">
        <f t="shared" si="16"/>
        <v>0</v>
      </c>
      <c r="X132" s="1">
        <f t="shared" si="16"/>
        <v>-1.64E+19</v>
      </c>
      <c r="Y132" s="1">
        <f t="shared" si="16"/>
        <v>-1.64E+19</v>
      </c>
    </row>
    <row r="133" spans="1:25" x14ac:dyDescent="0.2">
      <c r="A133" t="s">
        <v>45</v>
      </c>
      <c r="B133">
        <f>MAX(B131,-B132)</f>
        <v>2.6499999999999999E-8</v>
      </c>
      <c r="C133">
        <f t="shared" ref="C133:E133" si="17">MAX(C131,-C132)</f>
        <v>5.7299999999999997E-8</v>
      </c>
      <c r="D133">
        <f t="shared" si="17"/>
        <v>5.7100000000000002E-8</v>
      </c>
      <c r="E133">
        <f t="shared" si="17"/>
        <v>5.7299999999999997E-8</v>
      </c>
      <c r="G133">
        <f t="shared" ref="G133:H133" si="18">MAX(G131,-G132)</f>
        <v>4250524777</v>
      </c>
      <c r="H133">
        <f t="shared" si="18"/>
        <v>255000000000</v>
      </c>
      <c r="I133">
        <f t="shared" ref="I133" si="19">MAX(I131,-I132)</f>
        <v>4079765485</v>
      </c>
      <c r="J133">
        <f t="shared" ref="J133" si="20">MAX(J131,-J132)</f>
        <v>255000000000</v>
      </c>
      <c r="L133">
        <f t="shared" ref="L133" si="21">MAX(L131,-L132)</f>
        <v>5.8E+17</v>
      </c>
      <c r="M133">
        <f t="shared" ref="M133:N133" si="22">MAX(M131,-M132)</f>
        <v>3.95E+18</v>
      </c>
      <c r="N133">
        <f t="shared" si="22"/>
        <v>1.64E+19</v>
      </c>
      <c r="O133">
        <f t="shared" ref="O133" si="23">MAX(O131,-O132)</f>
        <v>1.64E+19</v>
      </c>
      <c r="Q133">
        <f t="shared" ref="Q133" si="24">MAX(Q131,-Q132)</f>
        <v>4250524777</v>
      </c>
      <c r="R133">
        <f t="shared" ref="R133" si="25">MAX(R131,-R132)</f>
        <v>255000000000</v>
      </c>
      <c r="S133">
        <f t="shared" ref="S133:T133" si="26">MAX(S131,-S132)</f>
        <v>4079765485</v>
      </c>
      <c r="T133">
        <f t="shared" si="26"/>
        <v>255000000000</v>
      </c>
      <c r="V133">
        <f t="shared" ref="V133:W133" si="27">MAX(V131,-V132)</f>
        <v>5.8E+17</v>
      </c>
      <c r="W133">
        <f t="shared" si="27"/>
        <v>3.95E+18</v>
      </c>
      <c r="X133">
        <f t="shared" ref="X133" si="28">MAX(X131,-X132)</f>
        <v>1.64E+19</v>
      </c>
      <c r="Y133">
        <f t="shared" ref="Y133" si="29">MAX(Y131,-Y132)</f>
        <v>1.64E+19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Cathy Xu</dc:creator>
  <cp:lastModifiedBy>Cathy Xu</cp:lastModifiedBy>
  <dcterms:created xsi:type="dcterms:W3CDTF">2019-06-06T21:50:38Z</dcterms:created>
  <dcterms:modified xsi:type="dcterms:W3CDTF">2019-06-06T22:05:53Z</dcterms:modified>
</cp:coreProperties>
</file>